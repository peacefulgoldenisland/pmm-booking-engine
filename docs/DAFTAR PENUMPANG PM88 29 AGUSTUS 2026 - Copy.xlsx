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4bbcdd703fae15/Documents/KK AYIK/FILE KANTOR/Daftar Penumpang/PMM88 AGUSTUS 2026/PMM 29 AGUSTUS 2026/"/>
    </mc:Choice>
  </mc:AlternateContent>
  <xr:revisionPtr revIDLastSave="59" documentId="8_{3223E198-C574-48D0-8546-850D82C8ACA3}" xr6:coauthVersionLast="47" xr6:coauthVersionMax="47" xr10:uidLastSave="{A17499EE-39AF-40E0-8E6C-4B79D86543AD}"/>
  <bookViews>
    <workbookView xWindow="-110" yWindow="-110" windowWidth="19420" windowHeight="10300" xr2:uid="{7AF5FE45-9838-4A47-A2F9-CE61BCC2A2C9}"/>
  </bookViews>
  <sheets>
    <sheet name="SYAHBANDAR15AGUSTUS" sheetId="1" r:id="rId1"/>
    <sheet name="TAMU15AGUSTUS" sheetId="2" r:id="rId2"/>
  </sheets>
  <definedNames>
    <definedName name="_xlnm.Print_Area" localSheetId="0">SYAHBANDAR15AGUSTUS!$A$1:$S$75</definedName>
    <definedName name="_xlnm.Print_Area" localSheetId="1">TAMU15AGUSTUS!$A$1:$R$37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" l="1"/>
  <c r="F10" i="1"/>
  <c r="F9" i="1"/>
  <c r="F11" i="1"/>
  <c r="F12" i="1"/>
  <c r="F13" i="1"/>
  <c r="F14" i="1"/>
  <c r="F15" i="1"/>
  <c r="F16" i="1"/>
  <c r="F8" i="1"/>
  <c r="F23" i="1"/>
  <c r="F22" i="1"/>
  <c r="F20" i="1"/>
  <c r="F39" i="1"/>
  <c r="N36" i="2"/>
  <c r="M36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36" i="2" s="1"/>
  <c r="F24" i="1"/>
  <c r="Q32" i="2"/>
  <c r="F32" i="2" s="1"/>
  <c r="Q33" i="2"/>
  <c r="F33" i="2" s="1"/>
  <c r="Q34" i="2"/>
  <c r="F34" i="2" s="1"/>
  <c r="K31" i="2"/>
  <c r="K32" i="2"/>
  <c r="K33" i="2"/>
  <c r="K34" i="2"/>
  <c r="J31" i="2"/>
  <c r="J32" i="2"/>
  <c r="J33" i="2"/>
  <c r="J34" i="2"/>
  <c r="I32" i="2"/>
  <c r="I33" i="2"/>
  <c r="I34" i="2"/>
  <c r="H32" i="2"/>
  <c r="H33" i="2"/>
  <c r="H34" i="2"/>
  <c r="B30" i="2"/>
  <c r="E30" i="2"/>
  <c r="H30" i="2"/>
  <c r="I30" i="2"/>
  <c r="J30" i="2"/>
  <c r="K30" i="2"/>
  <c r="Q30" i="2"/>
  <c r="F30" i="2" s="1"/>
  <c r="B13" i="2"/>
  <c r="E13" i="2"/>
  <c r="H13" i="2"/>
  <c r="I13" i="2"/>
  <c r="J13" i="2"/>
  <c r="K13" i="2"/>
  <c r="Q13" i="2"/>
  <c r="F13" i="2" s="1"/>
  <c r="B32" i="2"/>
  <c r="B33" i="2"/>
  <c r="F62" i="1"/>
  <c r="F41" i="1"/>
  <c r="F40" i="1"/>
  <c r="B31" i="2"/>
  <c r="E32" i="2"/>
  <c r="Q31" i="2"/>
  <c r="F31" i="2" s="1"/>
  <c r="I31" i="2"/>
  <c r="H31" i="2"/>
  <c r="E31" i="2"/>
  <c r="B24" i="2"/>
  <c r="E24" i="2"/>
  <c r="H24" i="2"/>
  <c r="I24" i="2"/>
  <c r="J24" i="2"/>
  <c r="K24" i="2"/>
  <c r="Q24" i="2"/>
  <c r="F24" i="2" s="1"/>
  <c r="Q14" i="2"/>
  <c r="F14" i="2" s="1"/>
  <c r="K14" i="2"/>
  <c r="J14" i="2"/>
  <c r="I14" i="2"/>
  <c r="H14" i="2"/>
  <c r="E14" i="2"/>
  <c r="B14" i="2"/>
  <c r="F38" i="1"/>
  <c r="Q23" i="2" l="1"/>
  <c r="F23" i="2" s="1"/>
  <c r="E23" i="2"/>
  <c r="H23" i="2"/>
  <c r="I23" i="2"/>
  <c r="J23" i="2"/>
  <c r="K23" i="2"/>
  <c r="B23" i="2"/>
  <c r="Q16" i="2"/>
  <c r="F16" i="2" s="1"/>
  <c r="Q15" i="2"/>
  <c r="F15" i="2" s="1"/>
  <c r="K15" i="2"/>
  <c r="K16" i="2"/>
  <c r="J15" i="2"/>
  <c r="J16" i="2"/>
  <c r="I15" i="2"/>
  <c r="I16" i="2"/>
  <c r="H15" i="2"/>
  <c r="H16" i="2"/>
  <c r="E16" i="2"/>
  <c r="E15" i="2"/>
  <c r="B15" i="2"/>
  <c r="B16" i="2"/>
  <c r="F70" i="1"/>
  <c r="F69" i="1"/>
  <c r="B9" i="2"/>
  <c r="F22" i="2"/>
  <c r="F21" i="2"/>
  <c r="B21" i="2"/>
  <c r="E21" i="2"/>
  <c r="H21" i="2"/>
  <c r="I21" i="2"/>
  <c r="J21" i="2"/>
  <c r="K21" i="2"/>
  <c r="B22" i="2"/>
  <c r="E22" i="2"/>
  <c r="H22" i="2"/>
  <c r="I22" i="2"/>
  <c r="J22" i="2"/>
  <c r="K22" i="2"/>
  <c r="T21" i="2"/>
  <c r="T25" i="2"/>
  <c r="T17" i="2"/>
  <c r="T9" i="2"/>
  <c r="Q10" i="2"/>
  <c r="F10" i="2" s="1"/>
  <c r="Q11" i="2"/>
  <c r="F11" i="2" s="1"/>
  <c r="Q12" i="2"/>
  <c r="F12" i="2" s="1"/>
  <c r="Q17" i="2"/>
  <c r="F17" i="2" s="1"/>
  <c r="Q18" i="2"/>
  <c r="F18" i="2" s="1"/>
  <c r="Q19" i="2"/>
  <c r="F19" i="2" s="1"/>
  <c r="Q20" i="2"/>
  <c r="F20" i="2" s="1"/>
  <c r="Q25" i="2"/>
  <c r="F25" i="2" s="1"/>
  <c r="Q26" i="2"/>
  <c r="Q27" i="2"/>
  <c r="F27" i="2" s="1"/>
  <c r="Q28" i="2"/>
  <c r="F28" i="2" s="1"/>
  <c r="Q29" i="2"/>
  <c r="F29" i="2" s="1"/>
  <c r="Q9" i="2"/>
  <c r="F9" i="2" s="1"/>
  <c r="H10" i="2"/>
  <c r="I10" i="2"/>
  <c r="J10" i="2"/>
  <c r="K10" i="2"/>
  <c r="H11" i="2"/>
  <c r="I11" i="2"/>
  <c r="J11" i="2"/>
  <c r="K11" i="2"/>
  <c r="H12" i="2"/>
  <c r="I12" i="2"/>
  <c r="J12" i="2"/>
  <c r="K12" i="2"/>
  <c r="H17" i="2"/>
  <c r="I17" i="2"/>
  <c r="J17" i="2"/>
  <c r="K17" i="2"/>
  <c r="H18" i="2"/>
  <c r="I18" i="2"/>
  <c r="J18" i="2"/>
  <c r="K18" i="2"/>
  <c r="H19" i="2"/>
  <c r="I19" i="2"/>
  <c r="J19" i="2"/>
  <c r="K19" i="2"/>
  <c r="H20" i="2"/>
  <c r="I20" i="2"/>
  <c r="J20" i="2"/>
  <c r="K20" i="2"/>
  <c r="H25" i="2"/>
  <c r="I25" i="2"/>
  <c r="J25" i="2"/>
  <c r="K25" i="2"/>
  <c r="H26" i="2"/>
  <c r="I26" i="2"/>
  <c r="J26" i="2"/>
  <c r="K26" i="2"/>
  <c r="H27" i="2"/>
  <c r="I27" i="2"/>
  <c r="J27" i="2"/>
  <c r="K27" i="2"/>
  <c r="H28" i="2"/>
  <c r="I28" i="2"/>
  <c r="J28" i="2"/>
  <c r="K28" i="2"/>
  <c r="H29" i="2"/>
  <c r="I29" i="2"/>
  <c r="J29" i="2"/>
  <c r="K29" i="2"/>
  <c r="I9" i="2"/>
  <c r="J9" i="2"/>
  <c r="K9" i="2"/>
  <c r="H9" i="2"/>
  <c r="F26" i="2"/>
  <c r="E10" i="2"/>
  <c r="E11" i="2"/>
  <c r="E12" i="2"/>
  <c r="E17" i="2"/>
  <c r="E18" i="2"/>
  <c r="E19" i="2"/>
  <c r="E20" i="2"/>
  <c r="E25" i="2"/>
  <c r="E26" i="2"/>
  <c r="E27" i="2"/>
  <c r="E28" i="2"/>
  <c r="E29" i="2"/>
  <c r="E34" i="2"/>
  <c r="E9" i="2"/>
  <c r="B10" i="2"/>
  <c r="B11" i="2"/>
  <c r="B12" i="2"/>
  <c r="B17" i="2"/>
  <c r="B18" i="2"/>
  <c r="B19" i="2"/>
  <c r="B20" i="2"/>
  <c r="B25" i="2"/>
  <c r="B26" i="2"/>
  <c r="B27" i="2"/>
  <c r="B28" i="2"/>
  <c r="B29" i="2"/>
  <c r="B34" i="2"/>
  <c r="L36" i="2"/>
  <c r="S36" i="2" s="1"/>
  <c r="F18" i="1"/>
  <c r="F19" i="1"/>
  <c r="F25" i="1"/>
  <c r="F17" i="1"/>
  <c r="L64" i="1"/>
</calcChain>
</file>

<file path=xl/sharedStrings.xml><?xml version="1.0" encoding="utf-8"?>
<sst xmlns="http://schemas.openxmlformats.org/spreadsheetml/2006/main" count="376" uniqueCount="96">
  <si>
    <t>NO.</t>
  </si>
  <si>
    <t>AGENT/WEB</t>
  </si>
  <si>
    <t>AREA</t>
  </si>
  <si>
    <t>PRICE</t>
  </si>
  <si>
    <t>CABIN SEA VIEW</t>
  </si>
  <si>
    <t>FRANCE</t>
  </si>
  <si>
    <t>SAIFUL</t>
  </si>
  <si>
    <t>PEMENANG</t>
  </si>
  <si>
    <t>CABIN STANDARD</t>
  </si>
  <si>
    <t>SHARING CABIN</t>
  </si>
  <si>
    <t>MAOR YOUAVIAN</t>
  </si>
  <si>
    <t>A37060765</t>
  </si>
  <si>
    <t>USA</t>
  </si>
  <si>
    <t>MELISSA MERCIER</t>
  </si>
  <si>
    <t>P616882LS</t>
  </si>
  <si>
    <t>CANADA</t>
  </si>
  <si>
    <t>NAMA KAPAL</t>
  </si>
  <si>
    <t>GT</t>
  </si>
  <si>
    <t>JUMLAH ABK</t>
  </si>
  <si>
    <t xml:space="preserve">NAMA </t>
  </si>
  <si>
    <t>KELAS</t>
  </si>
  <si>
    <t>F/M</t>
  </si>
  <si>
    <t>DOWN DECK</t>
  </si>
  <si>
    <t>UMUR</t>
  </si>
  <si>
    <t>THN</t>
  </si>
  <si>
    <t>LAHIR</t>
  </si>
  <si>
    <t>PELABUHAN ASAL</t>
  </si>
  <si>
    <t>PELABUHAN TUJUAN</t>
  </si>
  <si>
    <t>TANGGAL</t>
  </si>
  <si>
    <t>: LOMBOK</t>
  </si>
  <si>
    <t>: LABUAN BAJO</t>
  </si>
  <si>
    <t>: PULAU MAS 88</t>
  </si>
  <si>
    <t xml:space="preserve">: 119 </t>
  </si>
  <si>
    <t>NO. PASSPOR</t>
  </si>
  <si>
    <t>KEBANGSAAN</t>
  </si>
  <si>
    <t>F</t>
  </si>
  <si>
    <t>M</t>
  </si>
  <si>
    <t>BLN/TGL/THN</t>
  </si>
  <si>
    <t>BA985745</t>
  </si>
  <si>
    <t>COLOMBIA</t>
  </si>
  <si>
    <t>BG332521</t>
  </si>
  <si>
    <t>: 8 ORANG</t>
  </si>
  <si>
    <t>TRISTAN MICHEL CHARPENTIER</t>
  </si>
  <si>
    <t>CHPMH78P8</t>
  </si>
  <si>
    <t>GERMANY</t>
  </si>
  <si>
    <t>KAHLA FEE KELLER</t>
  </si>
  <si>
    <t>C3JKJN2X8</t>
  </si>
  <si>
    <t>TOTAL</t>
  </si>
  <si>
    <t>PASSANGER LIST</t>
  </si>
  <si>
    <t>UNITED KINGDOM</t>
  </si>
  <si>
    <t>INDONESIA</t>
  </si>
  <si>
    <t>KOPANG</t>
  </si>
  <si>
    <t>25AH40022</t>
  </si>
  <si>
    <t>132499286</t>
  </si>
  <si>
    <t>130591423</t>
  </si>
  <si>
    <t>: 13 JUNI 2026</t>
  </si>
  <si>
    <t>FEE</t>
  </si>
  <si>
    <t>PRIBADI</t>
  </si>
  <si>
    <t xml:space="preserve">AGEN </t>
  </si>
  <si>
    <t>BERSIH</t>
  </si>
  <si>
    <t xml:space="preserve"> </t>
  </si>
  <si>
    <t>BRITISH CITIZEN</t>
  </si>
  <si>
    <t xml:space="preserve">DEUTSCHLAND </t>
  </si>
  <si>
    <t xml:space="preserve">Hari </t>
  </si>
  <si>
    <t>C84HVN74X</t>
  </si>
  <si>
    <t>E4487826</t>
  </si>
  <si>
    <t xml:space="preserve">AZMI </t>
  </si>
  <si>
    <t>SENIN</t>
  </si>
  <si>
    <t>NEDERLANDEN</t>
  </si>
  <si>
    <t>C8091557</t>
  </si>
  <si>
    <t>DOWN DACK</t>
  </si>
  <si>
    <t>22AF76354</t>
  </si>
  <si>
    <t>26CE41288</t>
  </si>
  <si>
    <t>EM2217146</t>
  </si>
  <si>
    <t>EM3793927</t>
  </si>
  <si>
    <t>WEB</t>
  </si>
  <si>
    <t>ESPANOLA</t>
  </si>
  <si>
    <t>PAU272578</t>
  </si>
  <si>
    <t>PAT913888</t>
  </si>
  <si>
    <t>PB1903677</t>
  </si>
  <si>
    <t>SLOVENIJA</t>
  </si>
  <si>
    <t>RABU</t>
  </si>
  <si>
    <t>: 15 AGUSTUS 2026</t>
  </si>
  <si>
    <t>18A153846</t>
  </si>
  <si>
    <t>25HD16890</t>
  </si>
  <si>
    <t>24CF83902</t>
  </si>
  <si>
    <t>26AA18263</t>
  </si>
  <si>
    <t>CD188666</t>
  </si>
  <si>
    <t>PORTUGUESE</t>
  </si>
  <si>
    <t>SELASA</t>
  </si>
  <si>
    <t>NWC17HPK9</t>
  </si>
  <si>
    <t>NP2L28H66</t>
  </si>
  <si>
    <t>AZMI</t>
  </si>
  <si>
    <t>TANISHA UDAY JHAVERY</t>
  </si>
  <si>
    <t>T6709686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</si>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</sst>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197E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B8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8DC28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2">
    <xf numFmtId="0" fontId="0" fillId="0" borderId="0" xfId="0"/>
    <xf numFmtId="0" fontId="2" fillId="0" borderId="10" xfId="0" applyFont="1" applyBorder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1" applyNumberFormat="1" applyFont="1" applyFill="1"/>
    <xf numFmtId="0" fontId="4" fillId="0" borderId="0" xfId="0" quotePrefix="1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2" fillId="0" borderId="4" xfId="0" applyFont="1" applyBorder="1"/>
    <xf numFmtId="0" fontId="3" fillId="0" borderId="9" xfId="0" applyFont="1" applyBorder="1"/>
    <xf numFmtId="0" fontId="2" fillId="0" borderId="8" xfId="0" applyFont="1" applyBorder="1" applyAlignment="1">
      <alignment horizontal="right"/>
    </xf>
    <xf numFmtId="0" fontId="2" fillId="0" borderId="9" xfId="0" applyFont="1" applyBorder="1"/>
    <xf numFmtId="0" fontId="2" fillId="0" borderId="4" xfId="0" applyFont="1" applyBorder="1" applyAlignment="1">
      <alignment horizontal="center"/>
    </xf>
    <xf numFmtId="164" fontId="2" fillId="0" borderId="4" xfId="1" applyNumberFormat="1" applyFont="1" applyFill="1" applyBorder="1"/>
    <xf numFmtId="14" fontId="2" fillId="0" borderId="4" xfId="1" applyNumberFormat="1" applyFont="1" applyFill="1" applyBorder="1"/>
    <xf numFmtId="0" fontId="2" fillId="0" borderId="9" xfId="0" quotePrefix="1" applyFont="1" applyBorder="1"/>
    <xf numFmtId="0" fontId="2" fillId="0" borderId="4" xfId="0" quotePrefix="1" applyFont="1" applyBorder="1" applyAlignment="1">
      <alignment horizontal="center"/>
    </xf>
    <xf numFmtId="0" fontId="7" fillId="0" borderId="8" xfId="0" applyFont="1" applyBorder="1"/>
    <xf numFmtId="0" fontId="7" fillId="0" borderId="9" xfId="0" applyFont="1" applyBorder="1"/>
    <xf numFmtId="0" fontId="7" fillId="0" borderId="4" xfId="0" applyFont="1" applyBorder="1"/>
    <xf numFmtId="0" fontId="7" fillId="0" borderId="8" xfId="0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164" fontId="7" fillId="0" borderId="4" xfId="1" applyNumberFormat="1" applyFont="1" applyFill="1" applyBorder="1"/>
    <xf numFmtId="164" fontId="6" fillId="0" borderId="5" xfId="1" applyNumberFormat="1" applyFont="1" applyFill="1" applyBorder="1" applyAlignment="1">
      <alignment horizontal="right" vertical="center"/>
    </xf>
    <xf numFmtId="164" fontId="4" fillId="0" borderId="0" xfId="1" applyNumberFormat="1" applyFont="1" applyFill="1"/>
    <xf numFmtId="0" fontId="5" fillId="2" borderId="0" xfId="0" applyFont="1" applyFill="1" applyAlignment="1">
      <alignment horizontal="center"/>
    </xf>
    <xf numFmtId="43" fontId="2" fillId="0" borderId="0" xfId="0" applyNumberFormat="1" applyFont="1"/>
    <xf numFmtId="0" fontId="6" fillId="0" borderId="0" xfId="0" applyFont="1"/>
    <xf numFmtId="0" fontId="9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6" fillId="0" borderId="0" xfId="0" quotePrefix="1" applyFont="1" applyAlignment="1">
      <alignment horizontal="left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164" fontId="10" fillId="0" borderId="0" xfId="1" applyNumberFormat="1" applyFont="1" applyFill="1"/>
    <xf numFmtId="0" fontId="10" fillId="0" borderId="10" xfId="0" applyFont="1" applyBorder="1"/>
    <xf numFmtId="14" fontId="10" fillId="0" borderId="4" xfId="1" applyNumberFormat="1" applyFont="1" applyFill="1" applyBorder="1"/>
    <xf numFmtId="43" fontId="10" fillId="0" borderId="0" xfId="0" applyNumberFormat="1" applyFont="1"/>
    <xf numFmtId="0" fontId="10" fillId="4" borderId="4" xfId="0" applyFont="1" applyFill="1" applyBorder="1"/>
    <xf numFmtId="43" fontId="11" fillId="4" borderId="8" xfId="1" applyFont="1" applyFill="1" applyBorder="1"/>
    <xf numFmtId="0" fontId="11" fillId="4" borderId="9" xfId="0" applyFont="1" applyFill="1" applyBorder="1"/>
    <xf numFmtId="43" fontId="10" fillId="4" borderId="4" xfId="1" applyFont="1" applyFill="1" applyBorder="1" applyAlignment="1">
      <alignment horizontal="center"/>
    </xf>
    <xf numFmtId="0" fontId="10" fillId="4" borderId="8" xfId="0" applyFont="1" applyFill="1" applyBorder="1" applyAlignment="1">
      <alignment horizontal="right"/>
    </xf>
    <xf numFmtId="0" fontId="10" fillId="4" borderId="9" xfId="0" applyFont="1" applyFill="1" applyBorder="1"/>
    <xf numFmtId="164" fontId="10" fillId="4" borderId="4" xfId="1" applyNumberFormat="1" applyFont="1" applyFill="1" applyBorder="1"/>
    <xf numFmtId="0" fontId="6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164" fontId="6" fillId="5" borderId="3" xfId="1" applyNumberFormat="1" applyFont="1" applyFill="1" applyBorder="1" applyAlignment="1">
      <alignment horizontal="center" vertical="center"/>
    </xf>
    <xf numFmtId="0" fontId="3" fillId="0" borderId="8" xfId="0" applyFont="1" applyBorder="1"/>
    <xf numFmtId="0" fontId="10" fillId="6" borderId="4" xfId="0" applyFont="1" applyFill="1" applyBorder="1"/>
    <xf numFmtId="43" fontId="11" fillId="6" borderId="8" xfId="1" applyFont="1" applyFill="1" applyBorder="1"/>
    <xf numFmtId="0" fontId="11" fillId="6" borderId="9" xfId="0" applyFont="1" applyFill="1" applyBorder="1"/>
    <xf numFmtId="43" fontId="10" fillId="6" borderId="4" xfId="1" applyFont="1" applyFill="1" applyBorder="1" applyAlignment="1">
      <alignment horizontal="center"/>
    </xf>
    <xf numFmtId="0" fontId="10" fillId="6" borderId="8" xfId="0" applyFont="1" applyFill="1" applyBorder="1" applyAlignment="1">
      <alignment horizontal="right"/>
    </xf>
    <xf numFmtId="0" fontId="10" fillId="6" borderId="9" xfId="0" applyFont="1" applyFill="1" applyBorder="1"/>
    <xf numFmtId="164" fontId="10" fillId="6" borderId="4" xfId="1" applyNumberFormat="1" applyFont="1" applyFill="1" applyBorder="1"/>
    <xf numFmtId="0" fontId="10" fillId="7" borderId="4" xfId="0" applyFont="1" applyFill="1" applyBorder="1"/>
    <xf numFmtId="43" fontId="11" fillId="7" borderId="8" xfId="1" applyFont="1" applyFill="1" applyBorder="1"/>
    <xf numFmtId="0" fontId="11" fillId="7" borderId="9" xfId="0" applyFont="1" applyFill="1" applyBorder="1"/>
    <xf numFmtId="43" fontId="10" fillId="7" borderId="4" xfId="1" applyFont="1" applyFill="1" applyBorder="1" applyAlignment="1">
      <alignment horizontal="center"/>
    </xf>
    <xf numFmtId="0" fontId="10" fillId="7" borderId="8" xfId="0" applyFont="1" applyFill="1" applyBorder="1" applyAlignment="1">
      <alignment horizontal="right"/>
    </xf>
    <xf numFmtId="0" fontId="10" fillId="7" borderId="9" xfId="0" applyFont="1" applyFill="1" applyBorder="1"/>
    <xf numFmtId="164" fontId="10" fillId="7" borderId="4" xfId="1" applyNumberFormat="1" applyFont="1" applyFill="1" applyBorder="1"/>
    <xf numFmtId="0" fontId="6" fillId="3" borderId="5" xfId="0" applyFont="1" applyFill="1" applyBorder="1" applyAlignment="1">
      <alignment horizontal="center" vertical="center"/>
    </xf>
    <xf numFmtId="164" fontId="6" fillId="3" borderId="5" xfId="1" applyNumberFormat="1" applyFont="1" applyFill="1" applyBorder="1" applyAlignment="1">
      <alignment horizontal="right" vertical="center"/>
    </xf>
    <xf numFmtId="0" fontId="2" fillId="0" borderId="0" xfId="0" quotePrefix="1" applyFont="1" applyAlignment="1">
      <alignment horizontal="center"/>
    </xf>
    <xf numFmtId="0" fontId="10" fillId="8" borderId="4" xfId="0" applyFont="1" applyFill="1" applyBorder="1"/>
    <xf numFmtId="43" fontId="11" fillId="8" borderId="8" xfId="1" applyFont="1" applyFill="1" applyBorder="1"/>
    <xf numFmtId="0" fontId="11" fillId="8" borderId="9" xfId="0" applyFont="1" applyFill="1" applyBorder="1"/>
    <xf numFmtId="43" fontId="10" fillId="8" borderId="4" xfId="1" applyFont="1" applyFill="1" applyBorder="1" applyAlignment="1">
      <alignment horizontal="center"/>
    </xf>
    <xf numFmtId="0" fontId="10" fillId="8" borderId="8" xfId="0" applyFont="1" applyFill="1" applyBorder="1" applyAlignment="1">
      <alignment horizontal="right"/>
    </xf>
    <xf numFmtId="0" fontId="10" fillId="8" borderId="9" xfId="0" applyFont="1" applyFill="1" applyBorder="1"/>
    <xf numFmtId="164" fontId="10" fillId="8" borderId="4" xfId="1" applyNumberFormat="1" applyFont="1" applyFill="1" applyBorder="1"/>
    <xf numFmtId="0" fontId="2" fillId="0" borderId="11" xfId="0" applyFont="1" applyBorder="1" applyAlignment="1">
      <alignment horizontal="center"/>
    </xf>
    <xf numFmtId="43" fontId="10" fillId="0" borderId="11" xfId="1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164" fontId="4" fillId="0" borderId="12" xfId="1" applyNumberFormat="1" applyFont="1" applyFill="1" applyBorder="1" applyAlignment="1">
      <alignment horizontal="center" vertical="center"/>
    </xf>
    <xf numFmtId="164" fontId="4" fillId="0" borderId="1" xfId="1" applyNumberFormat="1" applyFont="1" applyFill="1" applyBorder="1" applyAlignment="1">
      <alignment horizontal="center" vertical="center"/>
    </xf>
    <xf numFmtId="164" fontId="4" fillId="0" borderId="2" xfId="1" applyNumberFormat="1" applyFont="1" applyFill="1" applyBorder="1" applyAlignment="1">
      <alignment horizontal="center" vertical="center"/>
    </xf>
    <xf numFmtId="164" fontId="4" fillId="0" borderId="3" xfId="1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2" fillId="0" borderId="8" xfId="1" applyNumberFormat="1" applyFont="1" applyFill="1" applyBorder="1"/>
    <xf numFmtId="14" fontId="2" fillId="0" borderId="8" xfId="1" applyNumberFormat="1" applyFont="1" applyFill="1" applyBorder="1" applyAlignment="1">
      <alignment horizontal="right"/>
    </xf>
    <xf numFmtId="0" fontId="2" fillId="0" borderId="8" xfId="0" applyFont="1" applyBorder="1"/>
    <xf numFmtId="0" fontId="2" fillId="9" borderId="0" xfId="0" applyFont="1" applyFill="1"/>
    <xf numFmtId="0" fontId="2" fillId="4" borderId="0" xfId="0" applyFont="1" applyFill="1"/>
    <xf numFmtId="0" fontId="2" fillId="9" borderId="4" xfId="0" applyFont="1" applyFill="1" applyBorder="1"/>
    <xf numFmtId="0" fontId="3" fillId="9" borderId="8" xfId="0" applyFont="1" applyFill="1" applyBorder="1"/>
    <xf numFmtId="0" fontId="3" fillId="9" borderId="9" xfId="0" applyFont="1" applyFill="1" applyBorder="1"/>
    <xf numFmtId="0" fontId="2" fillId="9" borderId="4" xfId="0" applyFont="1" applyFill="1" applyBorder="1" applyAlignment="1">
      <alignment horizontal="center"/>
    </xf>
    <xf numFmtId="0" fontId="2" fillId="9" borderId="8" xfId="0" applyFont="1" applyFill="1" applyBorder="1" applyAlignment="1">
      <alignment horizontal="right"/>
    </xf>
    <xf numFmtId="0" fontId="2" fillId="9" borderId="9" xfId="0" quotePrefix="1" applyFont="1" applyFill="1" applyBorder="1"/>
    <xf numFmtId="0" fontId="2" fillId="9" borderId="0" xfId="0" quotePrefix="1" applyFont="1" applyFill="1" applyAlignment="1">
      <alignment horizontal="center"/>
    </xf>
    <xf numFmtId="164" fontId="2" fillId="9" borderId="4" xfId="1" applyNumberFormat="1" applyFont="1" applyFill="1" applyBorder="1"/>
    <xf numFmtId="0" fontId="2" fillId="9" borderId="9" xfId="0" applyFont="1" applyFill="1" applyBorder="1"/>
    <xf numFmtId="0" fontId="2" fillId="9" borderId="4" xfId="0" quotePrefix="1" applyFont="1" applyFill="1" applyBorder="1" applyAlignment="1">
      <alignment horizontal="center"/>
    </xf>
    <xf numFmtId="0" fontId="3" fillId="9" borderId="0" xfId="0" applyFont="1" applyFill="1"/>
    <xf numFmtId="0" fontId="3" fillId="0" borderId="15" xfId="0" applyFont="1" applyBorder="1"/>
    <xf numFmtId="14" fontId="2" fillId="9" borderId="8" xfId="1" applyNumberFormat="1" applyFont="1" applyFill="1" applyBorder="1"/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/>
    </xf>
    <xf numFmtId="164" fontId="4" fillId="0" borderId="13" xfId="1" applyNumberFormat="1" applyFont="1" applyFill="1" applyBorder="1" applyAlignment="1">
      <alignment horizontal="center"/>
    </xf>
    <xf numFmtId="164" fontId="4" fillId="0" borderId="14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197E6"/>
      <color rgb="FFD8DC28"/>
      <color rgb="FFF2B800"/>
      <color rgb="FFF3A5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2836E-B313-47E5-AE7B-34841C46F3D7}">
  <dimension ref="A1:S71"/>
  <sheetViews>
    <sheetView tabSelected="1" view="pageBreakPreview" zoomScale="58" zoomScaleNormal="90" zoomScaleSheetLayoutView="100" workbookViewId="0">
      <selection activeCell="B47" sqref="B47"/>
    </sheetView>
  </sheetViews>
  <sheetFormatPr defaultColWidth="9.1796875" defaultRowHeight="15.5" x14ac:dyDescent="0.35"/>
  <cols>
    <col min="1" max="1" width="6.453125" style="7" customWidth="1"/>
    <col min="2" max="2" width="44.54296875" style="10" customWidth="1"/>
    <col min="3" max="3" width="34.81640625" style="10" customWidth="1"/>
    <col min="4" max="4" width="18.1796875" style="7" customWidth="1"/>
    <col min="5" max="5" width="6.54296875" style="7" customWidth="1"/>
    <col min="6" max="6" width="6" style="6" customWidth="1"/>
    <col min="7" max="7" width="7.81640625" style="6" customWidth="1"/>
    <col min="8" max="8" width="20.54296875" style="6" customWidth="1"/>
    <col min="9" max="9" width="17.81640625" style="6" customWidth="1"/>
    <col min="10" max="10" width="13.26953125" style="6" customWidth="1"/>
    <col min="11" max="11" width="15.1796875" style="6" customWidth="1"/>
    <col min="12" max="12" width="16.81640625" style="8" customWidth="1"/>
    <col min="13" max="13" width="5.1796875" style="7" customWidth="1"/>
    <col min="14" max="14" width="20.81640625" style="7" customWidth="1"/>
    <col min="15" max="15" width="10.7265625" style="7" customWidth="1"/>
    <col min="16" max="16384" width="9.1796875" style="7"/>
  </cols>
  <sheetData>
    <row r="1" spans="1:19" x14ac:dyDescent="0.35">
      <c r="O1" s="16"/>
    </row>
    <row r="2" spans="1:19" x14ac:dyDescent="0.35">
      <c r="A2" s="2" t="s">
        <v>16</v>
      </c>
      <c r="B2" s="3"/>
      <c r="C2" s="3" t="s">
        <v>31</v>
      </c>
      <c r="D2" s="2"/>
      <c r="E2" s="4" t="s">
        <v>26</v>
      </c>
      <c r="F2" s="5"/>
      <c r="H2" s="4" t="s">
        <v>29</v>
      </c>
      <c r="O2" s="16"/>
    </row>
    <row r="3" spans="1:19" x14ac:dyDescent="0.35">
      <c r="A3" s="2" t="s">
        <v>17</v>
      </c>
      <c r="B3" s="3"/>
      <c r="C3" s="3" t="s">
        <v>32</v>
      </c>
      <c r="D3" s="2"/>
      <c r="E3" s="4" t="s">
        <v>27</v>
      </c>
      <c r="F3" s="5"/>
      <c r="H3" s="4" t="s">
        <v>30</v>
      </c>
      <c r="O3" s="16"/>
    </row>
    <row r="4" spans="1:19" x14ac:dyDescent="0.35">
      <c r="A4" s="2" t="s">
        <v>18</v>
      </c>
      <c r="B4" s="3"/>
      <c r="C4" s="3" t="s">
        <v>41</v>
      </c>
      <c r="D4" s="2"/>
      <c r="E4" s="4" t="s">
        <v>28</v>
      </c>
      <c r="F4" s="5"/>
      <c r="H4" s="9" t="s">
        <v>82</v>
      </c>
      <c r="O4" s="16"/>
    </row>
    <row r="5" spans="1:19" ht="16" thickBot="1" x14ac:dyDescent="0.4">
      <c r="N5" s="33" t="s">
        <v>37</v>
      </c>
      <c r="O5" s="16"/>
    </row>
    <row r="6" spans="1:19" s="14" customFormat="1" ht="22" customHeight="1" thickBot="1" x14ac:dyDescent="0.4">
      <c r="A6" s="11" t="s">
        <v>0</v>
      </c>
      <c r="B6" s="113" t="s">
        <v>19</v>
      </c>
      <c r="C6" s="114"/>
      <c r="D6" s="12" t="s">
        <v>20</v>
      </c>
      <c r="E6" s="12" t="s">
        <v>21</v>
      </c>
      <c r="F6" s="111" t="s">
        <v>23</v>
      </c>
      <c r="G6" s="112"/>
      <c r="H6" s="12" t="s">
        <v>33</v>
      </c>
      <c r="I6" s="12" t="s">
        <v>34</v>
      </c>
      <c r="J6" s="12" t="s">
        <v>1</v>
      </c>
      <c r="K6" s="13" t="s">
        <v>2</v>
      </c>
      <c r="L6" s="88" t="s">
        <v>3</v>
      </c>
      <c r="N6" s="92" t="s">
        <v>25</v>
      </c>
      <c r="O6" s="15" t="s">
        <v>63</v>
      </c>
    </row>
    <row r="7" spans="1:19" ht="8.25" customHeight="1" x14ac:dyDescent="0.35">
      <c r="B7" s="109"/>
      <c r="N7" s="1"/>
      <c r="O7" s="16"/>
    </row>
    <row r="8" spans="1:19" ht="22" customHeight="1" x14ac:dyDescent="0.35">
      <c r="A8" s="98">
        <v>1</v>
      </c>
      <c r="B8" s="108" t="s">
        <v>92</v>
      </c>
      <c r="C8" s="100"/>
      <c r="D8" s="98" t="s">
        <v>4</v>
      </c>
      <c r="E8" s="101" t="s">
        <v>35</v>
      </c>
      <c r="F8" s="102">
        <f t="shared" ref="F8:F16" ca="1" si="0">DATEDIF(N8,TODAY(),"y")</f>
        <v>24</v>
      </c>
      <c r="G8" s="106" t="s">
        <v>24</v>
      </c>
      <c r="H8" s="101" t="s">
        <v>90</v>
      </c>
      <c r="I8" s="101" t="s">
        <v>68</v>
      </c>
      <c r="J8" s="101" t="s">
        <v>66</v>
      </c>
      <c r="K8" s="101" t="s">
        <v>7</v>
      </c>
      <c r="L8" s="105">
        <v>4600000</v>
      </c>
      <c r="N8" s="94">
        <v>37250</v>
      </c>
      <c r="O8" s="20" t="s">
        <v>81</v>
      </c>
    </row>
    <row r="9" spans="1:19" ht="22" customHeight="1" x14ac:dyDescent="0.35">
      <c r="A9" s="98">
        <v>2</v>
      </c>
      <c r="B9" s="99" t="s">
        <v>92</v>
      </c>
      <c r="C9" s="100"/>
      <c r="D9" s="98" t="s">
        <v>4</v>
      </c>
      <c r="E9" s="101" t="s">
        <v>35</v>
      </c>
      <c r="F9" s="102">
        <f t="shared" ca="1" si="0"/>
        <v>26</v>
      </c>
      <c r="G9" s="106" t="s">
        <v>24</v>
      </c>
      <c r="H9" s="101" t="s">
        <v>91</v>
      </c>
      <c r="I9" s="101" t="s">
        <v>68</v>
      </c>
      <c r="J9" s="101" t="s">
        <v>66</v>
      </c>
      <c r="K9" s="101" t="s">
        <v>7</v>
      </c>
      <c r="L9" s="105">
        <v>4600000</v>
      </c>
      <c r="N9" s="93">
        <v>36653</v>
      </c>
      <c r="O9" s="20" t="s">
        <v>81</v>
      </c>
    </row>
    <row r="10" spans="1:19" ht="22" customHeight="1" x14ac:dyDescent="0.35">
      <c r="A10" s="98">
        <v>3</v>
      </c>
      <c r="B10" s="99" t="s">
        <v>92</v>
      </c>
      <c r="C10" s="17"/>
      <c r="D10" s="16" t="s">
        <v>4</v>
      </c>
      <c r="E10" s="20" t="s">
        <v>36</v>
      </c>
      <c r="F10" s="18">
        <f t="shared" ca="1" si="0"/>
        <v>26</v>
      </c>
      <c r="G10" s="19" t="s">
        <v>24</v>
      </c>
      <c r="H10" s="20" t="s">
        <v>77</v>
      </c>
      <c r="I10" s="20" t="s">
        <v>76</v>
      </c>
      <c r="J10" s="20" t="s">
        <v>66</v>
      </c>
      <c r="K10" s="20" t="s">
        <v>7</v>
      </c>
      <c r="L10" s="21">
        <v>4600000</v>
      </c>
      <c r="N10" s="94">
        <v>36747</v>
      </c>
      <c r="O10" s="20" t="s">
        <v>89</v>
      </c>
    </row>
    <row r="11" spans="1:19" ht="22" customHeight="1" x14ac:dyDescent="0.35">
      <c r="A11" s="98">
        <v>4</v>
      </c>
      <c r="B11" s="99" t="s">
        <v>92</v>
      </c>
      <c r="C11" s="17"/>
      <c r="D11" s="16" t="s">
        <v>4</v>
      </c>
      <c r="E11" s="20" t="s">
        <v>36</v>
      </c>
      <c r="F11" s="18">
        <f t="shared" ca="1" si="0"/>
        <v>25</v>
      </c>
      <c r="G11" s="19" t="s">
        <v>24</v>
      </c>
      <c r="H11" s="20" t="s">
        <v>78</v>
      </c>
      <c r="I11" s="20" t="s">
        <v>76</v>
      </c>
      <c r="J11" s="20" t="s">
        <v>66</v>
      </c>
      <c r="K11" s="20" t="s">
        <v>7</v>
      </c>
      <c r="L11" s="21">
        <v>4600000</v>
      </c>
      <c r="N11" s="93">
        <v>36886</v>
      </c>
      <c r="O11" s="20" t="s">
        <v>89</v>
      </c>
    </row>
    <row r="12" spans="1:19" ht="22" customHeight="1" x14ac:dyDescent="0.35">
      <c r="A12" s="98">
        <v>5</v>
      </c>
      <c r="B12" s="99" t="s">
        <v>92</v>
      </c>
      <c r="C12" s="17"/>
      <c r="D12" s="16" t="s">
        <v>4</v>
      </c>
      <c r="E12" s="20" t="s">
        <v>36</v>
      </c>
      <c r="F12" s="18">
        <f t="shared" ca="1" si="0"/>
        <v>22</v>
      </c>
      <c r="G12" s="23" t="s">
        <v>24</v>
      </c>
      <c r="H12" s="24" t="s">
        <v>79</v>
      </c>
      <c r="I12" s="20" t="s">
        <v>80</v>
      </c>
      <c r="J12" s="20" t="s">
        <v>66</v>
      </c>
      <c r="K12" s="20" t="s">
        <v>7</v>
      </c>
      <c r="L12" s="21">
        <v>4600000</v>
      </c>
      <c r="N12" s="93">
        <v>37999</v>
      </c>
      <c r="O12" s="20" t="s">
        <v>67</v>
      </c>
    </row>
    <row r="13" spans="1:19" ht="22" customHeight="1" x14ac:dyDescent="0.35">
      <c r="A13" s="98">
        <v>6</v>
      </c>
      <c r="B13" s="99" t="s">
        <v>92</v>
      </c>
      <c r="C13" s="17"/>
      <c r="D13" s="16" t="s">
        <v>4</v>
      </c>
      <c r="E13" s="20" t="s">
        <v>35</v>
      </c>
      <c r="F13" s="18">
        <f t="shared" ca="1" si="0"/>
        <v>22</v>
      </c>
      <c r="G13" s="19" t="s">
        <v>24</v>
      </c>
      <c r="H13" s="24" t="s">
        <v>65</v>
      </c>
      <c r="I13" s="20" t="s">
        <v>80</v>
      </c>
      <c r="J13" s="20" t="s">
        <v>66</v>
      </c>
      <c r="K13" s="20" t="s">
        <v>7</v>
      </c>
      <c r="L13" s="21">
        <v>4600000</v>
      </c>
      <c r="N13" s="93">
        <v>38022</v>
      </c>
      <c r="O13" s="20" t="s">
        <v>81</v>
      </c>
    </row>
    <row r="14" spans="1:19" ht="22" customHeight="1" x14ac:dyDescent="0.35">
      <c r="A14" s="98">
        <v>7</v>
      </c>
      <c r="B14" s="60"/>
      <c r="C14" s="17"/>
      <c r="D14" s="16" t="s">
        <v>4</v>
      </c>
      <c r="E14" s="20" t="s">
        <v>36</v>
      </c>
      <c r="F14" s="18">
        <f t="shared" ca="1" si="0"/>
        <v>23</v>
      </c>
      <c r="G14" s="23" t="s">
        <v>24</v>
      </c>
      <c r="H14" s="24" t="s">
        <v>69</v>
      </c>
      <c r="I14" s="20" t="s">
        <v>50</v>
      </c>
      <c r="J14" s="20" t="s">
        <v>66</v>
      </c>
      <c r="K14" s="20" t="s">
        <v>51</v>
      </c>
      <c r="L14" s="21">
        <v>4600000</v>
      </c>
      <c r="N14" s="93">
        <v>37634</v>
      </c>
      <c r="O14" s="20" t="s">
        <v>81</v>
      </c>
    </row>
    <row r="15" spans="1:19" ht="22" customHeight="1" x14ac:dyDescent="0.35">
      <c r="A15" s="98">
        <v>8</v>
      </c>
      <c r="B15" s="60"/>
      <c r="C15" s="17"/>
      <c r="D15" s="16" t="s">
        <v>4</v>
      </c>
      <c r="E15" s="20" t="s">
        <v>36</v>
      </c>
      <c r="F15" s="18">
        <f t="shared" ca="1" si="0"/>
        <v>21</v>
      </c>
      <c r="G15" s="23" t="s">
        <v>24</v>
      </c>
      <c r="H15" s="77" t="s">
        <v>64</v>
      </c>
      <c r="I15" s="20" t="s">
        <v>62</v>
      </c>
      <c r="J15" s="20" t="s">
        <v>66</v>
      </c>
      <c r="K15" s="20" t="s">
        <v>51</v>
      </c>
      <c r="L15" s="21">
        <v>4600000</v>
      </c>
      <c r="N15" s="93">
        <v>38260</v>
      </c>
      <c r="O15" s="20" t="s">
        <v>67</v>
      </c>
    </row>
    <row r="16" spans="1:19" ht="22" customHeight="1" x14ac:dyDescent="0.35">
      <c r="A16" s="98">
        <v>9</v>
      </c>
      <c r="B16" s="99" t="s">
        <v>92</v>
      </c>
      <c r="C16" s="100"/>
      <c r="D16" s="98" t="s">
        <v>8</v>
      </c>
      <c r="E16" s="101" t="s">
        <v>36</v>
      </c>
      <c r="F16" s="102">
        <f t="shared" ca="1" si="0"/>
        <v>45</v>
      </c>
      <c r="G16" s="103" t="s">
        <v>24</v>
      </c>
      <c r="H16" s="107" t="s">
        <v>73</v>
      </c>
      <c r="I16" s="101" t="s">
        <v>68</v>
      </c>
      <c r="J16" s="101" t="s">
        <v>75</v>
      </c>
      <c r="K16" s="101" t="s">
        <v>51</v>
      </c>
      <c r="L16" s="105">
        <v>4200000</v>
      </c>
      <c r="M16" s="96"/>
      <c r="N16" s="110">
        <v>29738</v>
      </c>
      <c r="O16" s="101" t="s">
        <v>81</v>
      </c>
      <c r="P16" s="96"/>
      <c r="Q16" s="96"/>
      <c r="R16" s="96"/>
      <c r="S16" s="96"/>
    </row>
    <row r="17" spans="1:19" ht="22" customHeight="1" x14ac:dyDescent="0.35">
      <c r="A17" s="98">
        <v>10</v>
      </c>
      <c r="B17" s="99" t="s">
        <v>92</v>
      </c>
      <c r="C17" s="100"/>
      <c r="D17" s="98" t="s">
        <v>8</v>
      </c>
      <c r="E17" s="101" t="s">
        <v>35</v>
      </c>
      <c r="F17" s="102">
        <f t="shared" ref="F17:F62" ca="1" si="1">DATEDIF(N17,TODAY(),"y")</f>
        <v>12</v>
      </c>
      <c r="G17" s="103" t="s">
        <v>24</v>
      </c>
      <c r="H17" s="101" t="s">
        <v>74</v>
      </c>
      <c r="I17" s="101" t="s">
        <v>68</v>
      </c>
      <c r="J17" s="101" t="s">
        <v>75</v>
      </c>
      <c r="K17" s="101" t="s">
        <v>51</v>
      </c>
      <c r="L17" s="105">
        <v>4200000</v>
      </c>
      <c r="M17" s="96"/>
      <c r="N17" s="110">
        <v>41522</v>
      </c>
      <c r="O17" s="101" t="s">
        <v>81</v>
      </c>
      <c r="P17" s="96"/>
      <c r="Q17" s="96"/>
      <c r="R17" s="96"/>
      <c r="S17" s="96"/>
    </row>
    <row r="18" spans="1:19" ht="22" customHeight="1" x14ac:dyDescent="0.35">
      <c r="A18" s="98">
        <v>11</v>
      </c>
      <c r="B18" s="60"/>
      <c r="C18" s="17"/>
      <c r="D18" s="16" t="s">
        <v>8</v>
      </c>
      <c r="E18" s="20" t="s">
        <v>35</v>
      </c>
      <c r="F18" s="18">
        <f t="shared" ca="1" si="1"/>
        <v>32</v>
      </c>
      <c r="G18" s="23" t="s">
        <v>24</v>
      </c>
      <c r="H18" s="6" t="s">
        <v>38</v>
      </c>
      <c r="I18" s="20" t="s">
        <v>39</v>
      </c>
      <c r="J18" s="20" t="s">
        <v>66</v>
      </c>
      <c r="K18" s="20" t="s">
        <v>7</v>
      </c>
      <c r="L18" s="21">
        <v>4200000</v>
      </c>
      <c r="N18" s="110">
        <v>34269</v>
      </c>
      <c r="O18" s="101" t="s">
        <v>81</v>
      </c>
      <c r="P18" s="96"/>
      <c r="Q18" s="96"/>
      <c r="R18" s="96"/>
      <c r="S18" s="96"/>
    </row>
    <row r="19" spans="1:19" ht="22" customHeight="1" x14ac:dyDescent="0.35">
      <c r="A19" s="98">
        <v>12</v>
      </c>
      <c r="B19" s="60"/>
      <c r="C19" s="17"/>
      <c r="D19" s="16" t="s">
        <v>8</v>
      </c>
      <c r="E19" s="20" t="s">
        <v>36</v>
      </c>
      <c r="F19" s="18">
        <f t="shared" ca="1" si="1"/>
        <v>47</v>
      </c>
      <c r="G19" s="23" t="s">
        <v>24</v>
      </c>
      <c r="H19" s="20" t="s">
        <v>40</v>
      </c>
      <c r="I19" s="20" t="s">
        <v>39</v>
      </c>
      <c r="J19" s="20" t="s">
        <v>66</v>
      </c>
      <c r="K19" s="20" t="s">
        <v>7</v>
      </c>
      <c r="L19" s="21">
        <v>4200000</v>
      </c>
      <c r="M19" s="96"/>
      <c r="N19" s="110">
        <v>28759</v>
      </c>
      <c r="O19" s="101" t="s">
        <v>67</v>
      </c>
      <c r="P19" s="96"/>
      <c r="Q19" s="96"/>
      <c r="R19" s="96"/>
      <c r="S19" s="96"/>
    </row>
    <row r="20" spans="1:19" s="97" customFormat="1" ht="22" customHeight="1" x14ac:dyDescent="0.35">
      <c r="A20" s="98">
        <v>13</v>
      </c>
      <c r="B20" s="99" t="s">
        <v>93</v>
      </c>
      <c r="C20" s="100"/>
      <c r="D20" s="98" t="s">
        <v>70</v>
      </c>
      <c r="E20" s="101" t="s">
        <v>35</v>
      </c>
      <c r="F20" s="102">
        <f t="shared" ref="F20" ca="1" si="2">DATEDIF(N20,TODAY(),"y")</f>
        <v>25</v>
      </c>
      <c r="G20" s="103" t="s">
        <v>24</v>
      </c>
      <c r="H20" s="107" t="s">
        <v>94</v>
      </c>
      <c r="I20" s="101" t="s">
        <v>95</v>
      </c>
      <c r="J20" s="101" t="s">
        <v>66</v>
      </c>
      <c r="K20" s="101" t="s">
        <v>7</v>
      </c>
      <c r="L20" s="105">
        <v>3800000</v>
      </c>
      <c r="M20" s="96"/>
      <c r="N20" s="110">
        <v>36894</v>
      </c>
      <c r="O20" s="101" t="s">
        <v>81</v>
      </c>
      <c r="P20" s="96"/>
      <c r="Q20" s="96"/>
      <c r="R20" s="96"/>
      <c r="S20" s="96"/>
    </row>
    <row r="21" spans="1:19" ht="22" customHeight="1" x14ac:dyDescent="0.35">
      <c r="A21" s="98">
        <v>14</v>
      </c>
      <c r="B21" s="60"/>
      <c r="C21" s="17"/>
      <c r="D21" s="16" t="s">
        <v>70</v>
      </c>
      <c r="E21" s="20" t="s">
        <v>35</v>
      </c>
      <c r="F21" s="18">
        <v>21</v>
      </c>
      <c r="G21" s="19" t="s">
        <v>24</v>
      </c>
      <c r="H21" s="24" t="s">
        <v>71</v>
      </c>
      <c r="I21" s="20" t="s">
        <v>5</v>
      </c>
      <c r="J21" s="20" t="s">
        <v>66</v>
      </c>
      <c r="K21" s="20" t="s">
        <v>7</v>
      </c>
      <c r="L21" s="21">
        <v>3800000</v>
      </c>
      <c r="N21" s="93">
        <v>35265</v>
      </c>
      <c r="O21" s="20" t="s">
        <v>67</v>
      </c>
    </row>
    <row r="22" spans="1:19" ht="22" customHeight="1" x14ac:dyDescent="0.35">
      <c r="A22" s="98">
        <v>15</v>
      </c>
      <c r="B22" s="60"/>
      <c r="C22" s="17"/>
      <c r="D22" s="16" t="s">
        <v>70</v>
      </c>
      <c r="E22" s="20" t="s">
        <v>35</v>
      </c>
      <c r="F22" s="18">
        <f ca="1">DATEDIF(N22,TODAY(),"y")</f>
        <v>31</v>
      </c>
      <c r="G22" s="23" t="s">
        <v>24</v>
      </c>
      <c r="H22" s="24" t="s">
        <v>72</v>
      </c>
      <c r="I22" s="20" t="s">
        <v>5</v>
      </c>
      <c r="J22" s="20" t="s">
        <v>66</v>
      </c>
      <c r="K22" s="20" t="s">
        <v>7</v>
      </c>
      <c r="L22" s="21">
        <v>3800000</v>
      </c>
      <c r="N22" s="93">
        <v>34712</v>
      </c>
      <c r="O22" s="20" t="s">
        <v>67</v>
      </c>
    </row>
    <row r="23" spans="1:19" ht="22" customHeight="1" x14ac:dyDescent="0.35">
      <c r="A23" s="98">
        <v>16</v>
      </c>
      <c r="B23" s="99"/>
      <c r="C23" s="100"/>
      <c r="D23" s="98" t="s">
        <v>70</v>
      </c>
      <c r="E23" s="101" t="s">
        <v>35</v>
      </c>
      <c r="F23" s="102">
        <f t="shared" ref="F23" ca="1" si="3">DATEDIF(N23,TODAY(),"y")</f>
        <v>39</v>
      </c>
      <c r="G23" s="103" t="s">
        <v>24</v>
      </c>
      <c r="H23" s="104" t="s">
        <v>83</v>
      </c>
      <c r="I23" s="101" t="s">
        <v>5</v>
      </c>
      <c r="J23" s="101" t="s">
        <v>75</v>
      </c>
      <c r="K23" s="101" t="s">
        <v>51</v>
      </c>
      <c r="L23" s="105">
        <v>3800000</v>
      </c>
      <c r="N23" s="93">
        <v>31871</v>
      </c>
      <c r="O23" s="20" t="s">
        <v>67</v>
      </c>
    </row>
    <row r="24" spans="1:19" ht="22" customHeight="1" x14ac:dyDescent="0.35">
      <c r="A24" s="98">
        <v>17</v>
      </c>
      <c r="B24" s="99"/>
      <c r="C24" s="100"/>
      <c r="D24" s="98" t="s">
        <v>70</v>
      </c>
      <c r="E24" s="101" t="s">
        <v>36</v>
      </c>
      <c r="F24" s="102">
        <f t="shared" ca="1" si="1"/>
        <v>37</v>
      </c>
      <c r="G24" s="106" t="s">
        <v>24</v>
      </c>
      <c r="H24" s="107" t="s">
        <v>84</v>
      </c>
      <c r="I24" s="101" t="s">
        <v>5</v>
      </c>
      <c r="J24" s="101" t="s">
        <v>75</v>
      </c>
      <c r="K24" s="101" t="s">
        <v>51</v>
      </c>
      <c r="L24" s="105">
        <v>3800000</v>
      </c>
      <c r="N24" s="93">
        <v>32491</v>
      </c>
      <c r="O24" s="16"/>
    </row>
    <row r="25" spans="1:19" ht="22" customHeight="1" x14ac:dyDescent="0.35">
      <c r="A25" s="98">
        <v>18</v>
      </c>
      <c r="B25" s="60"/>
      <c r="C25" s="17"/>
      <c r="D25" s="16" t="s">
        <v>70</v>
      </c>
      <c r="E25" s="20" t="s">
        <v>35</v>
      </c>
      <c r="F25" s="18">
        <f t="shared" ca="1" si="1"/>
        <v>34</v>
      </c>
      <c r="G25" s="23" t="s">
        <v>24</v>
      </c>
      <c r="H25" s="24" t="s">
        <v>85</v>
      </c>
      <c r="I25" s="20" t="s">
        <v>5</v>
      </c>
      <c r="J25" s="20" t="s">
        <v>66</v>
      </c>
      <c r="K25" s="20" t="s">
        <v>7</v>
      </c>
      <c r="L25" s="21">
        <v>3800000</v>
      </c>
      <c r="N25" s="93">
        <v>33790</v>
      </c>
      <c r="O25" s="16"/>
    </row>
    <row r="26" spans="1:19" ht="22" customHeight="1" x14ac:dyDescent="0.35">
      <c r="A26" s="98">
        <v>19</v>
      </c>
      <c r="B26" s="60"/>
      <c r="C26" s="17"/>
      <c r="D26" s="16" t="s">
        <v>70</v>
      </c>
      <c r="E26" s="20" t="s">
        <v>36</v>
      </c>
      <c r="F26" s="18">
        <f t="shared" ca="1" si="1"/>
        <v>32</v>
      </c>
      <c r="G26" s="23" t="s">
        <v>24</v>
      </c>
      <c r="H26" s="20" t="s">
        <v>86</v>
      </c>
      <c r="I26" s="20" t="s">
        <v>5</v>
      </c>
      <c r="J26" s="20" t="s">
        <v>66</v>
      </c>
      <c r="K26" s="20" t="s">
        <v>7</v>
      </c>
      <c r="L26" s="21">
        <v>3800000</v>
      </c>
      <c r="N26" s="94">
        <v>34474</v>
      </c>
      <c r="O26" s="16"/>
    </row>
    <row r="27" spans="1:19" ht="22" customHeight="1" x14ac:dyDescent="0.35">
      <c r="A27" s="98">
        <v>20</v>
      </c>
      <c r="B27" s="60"/>
      <c r="C27" s="17" t="s">
        <v>60</v>
      </c>
      <c r="D27" s="16" t="s">
        <v>70</v>
      </c>
      <c r="E27" s="20" t="s">
        <v>35</v>
      </c>
      <c r="F27" s="18">
        <v>26</v>
      </c>
      <c r="G27" s="23" t="s">
        <v>24</v>
      </c>
      <c r="H27" s="20">
        <v>126789690</v>
      </c>
      <c r="I27" s="20" t="s">
        <v>61</v>
      </c>
      <c r="J27" s="20" t="s">
        <v>66</v>
      </c>
      <c r="K27" s="20" t="s">
        <v>7</v>
      </c>
      <c r="L27" s="21">
        <v>3800000</v>
      </c>
      <c r="N27" s="93">
        <v>36544</v>
      </c>
      <c r="O27" s="16" t="s">
        <v>81</v>
      </c>
    </row>
    <row r="28" spans="1:19" ht="22" customHeight="1" x14ac:dyDescent="0.35">
      <c r="A28" s="98">
        <v>21</v>
      </c>
      <c r="B28" s="60"/>
      <c r="C28" s="17"/>
      <c r="D28" s="16" t="s">
        <v>70</v>
      </c>
      <c r="E28" s="20"/>
      <c r="F28" s="18"/>
      <c r="G28" s="23"/>
      <c r="H28" s="20"/>
      <c r="I28" s="20"/>
      <c r="J28" s="20"/>
      <c r="K28" s="20"/>
      <c r="L28" s="21"/>
      <c r="N28" s="93"/>
      <c r="O28" s="16"/>
    </row>
    <row r="29" spans="1:19" ht="22" customHeight="1" x14ac:dyDescent="0.35">
      <c r="A29" s="98">
        <v>22</v>
      </c>
      <c r="B29" s="60"/>
      <c r="C29" s="17"/>
      <c r="D29" s="16" t="s">
        <v>70</v>
      </c>
      <c r="E29" s="20"/>
      <c r="F29" s="18"/>
      <c r="G29" s="23"/>
      <c r="H29" s="20"/>
      <c r="I29" s="20"/>
      <c r="J29" s="20"/>
      <c r="K29" s="20"/>
      <c r="L29" s="21"/>
      <c r="N29" s="93"/>
      <c r="O29" s="16"/>
    </row>
    <row r="30" spans="1:19" ht="22" customHeight="1" x14ac:dyDescent="0.35">
      <c r="A30" s="98">
        <v>23</v>
      </c>
      <c r="B30" s="60"/>
      <c r="C30" s="17"/>
      <c r="D30" s="16" t="s">
        <v>70</v>
      </c>
      <c r="E30" s="20"/>
      <c r="F30" s="18"/>
      <c r="G30" s="23"/>
      <c r="H30" s="20"/>
      <c r="I30" s="20"/>
      <c r="J30" s="20"/>
      <c r="K30" s="20"/>
      <c r="L30" s="21"/>
      <c r="N30" s="93"/>
      <c r="O30" s="16"/>
    </row>
    <row r="31" spans="1:19" ht="22" customHeight="1" x14ac:dyDescent="0.35">
      <c r="A31" s="98">
        <v>24</v>
      </c>
      <c r="B31" s="60"/>
      <c r="C31" s="17"/>
      <c r="D31" s="16" t="s">
        <v>70</v>
      </c>
      <c r="E31" s="20"/>
      <c r="F31" s="18"/>
      <c r="G31" s="23"/>
      <c r="H31" s="20"/>
      <c r="I31" s="20"/>
      <c r="J31" s="20"/>
      <c r="K31" s="20"/>
      <c r="L31" s="21"/>
      <c r="N31" s="93"/>
      <c r="O31" s="16"/>
    </row>
    <row r="32" spans="1:19" ht="22" customHeight="1" x14ac:dyDescent="0.35">
      <c r="A32" s="98">
        <v>25</v>
      </c>
      <c r="B32" s="60"/>
      <c r="C32" s="17"/>
      <c r="D32" s="16" t="s">
        <v>70</v>
      </c>
      <c r="E32" s="20"/>
      <c r="F32" s="18"/>
      <c r="G32" s="23"/>
      <c r="H32" s="20"/>
      <c r="I32" s="20"/>
      <c r="J32" s="20"/>
      <c r="K32" s="20"/>
      <c r="L32" s="21"/>
      <c r="N32" s="93"/>
      <c r="O32" s="16"/>
    </row>
    <row r="33" spans="1:15" ht="22" customHeight="1" x14ac:dyDescent="0.35">
      <c r="A33" s="98">
        <v>26</v>
      </c>
      <c r="B33" s="60"/>
      <c r="C33" s="17"/>
      <c r="D33" s="16" t="s">
        <v>70</v>
      </c>
      <c r="E33" s="20"/>
      <c r="F33" s="18"/>
      <c r="G33" s="23"/>
      <c r="H33" s="20"/>
      <c r="I33" s="20"/>
      <c r="J33" s="20"/>
      <c r="K33" s="20"/>
      <c r="L33" s="21"/>
      <c r="N33" s="93"/>
      <c r="O33" s="16"/>
    </row>
    <row r="34" spans="1:15" ht="22" customHeight="1" x14ac:dyDescent="0.35">
      <c r="A34" s="98">
        <v>27</v>
      </c>
      <c r="B34" s="60"/>
      <c r="C34" s="17"/>
      <c r="D34" s="16" t="s">
        <v>70</v>
      </c>
      <c r="E34" s="20"/>
      <c r="F34" s="18"/>
      <c r="G34" s="23"/>
      <c r="H34" s="20"/>
      <c r="I34" s="20"/>
      <c r="J34" s="20"/>
      <c r="K34" s="20"/>
      <c r="L34" s="21"/>
      <c r="N34" s="93"/>
      <c r="O34" s="16"/>
    </row>
    <row r="35" spans="1:15" ht="22" customHeight="1" x14ac:dyDescent="0.35">
      <c r="A35" s="98">
        <v>28</v>
      </c>
      <c r="B35" s="60"/>
      <c r="C35" s="17"/>
      <c r="D35" s="16" t="s">
        <v>70</v>
      </c>
      <c r="E35" s="20"/>
      <c r="F35" s="18"/>
      <c r="G35" s="23"/>
      <c r="H35" s="20"/>
      <c r="I35" s="20"/>
      <c r="J35" s="20"/>
      <c r="K35" s="20"/>
      <c r="L35" s="21"/>
      <c r="N35" s="93"/>
      <c r="O35" s="16"/>
    </row>
    <row r="36" spans="1:15" ht="22" customHeight="1" x14ac:dyDescent="0.35">
      <c r="A36" s="98">
        <v>29</v>
      </c>
      <c r="B36" s="60"/>
      <c r="C36" s="17"/>
      <c r="D36" s="16" t="s">
        <v>70</v>
      </c>
      <c r="E36" s="20"/>
      <c r="F36" s="18"/>
      <c r="G36" s="23"/>
      <c r="H36" s="20"/>
      <c r="I36" s="20"/>
      <c r="J36" s="20"/>
      <c r="K36" s="20"/>
      <c r="L36" s="21"/>
      <c r="N36" s="93"/>
      <c r="O36" s="16"/>
    </row>
    <row r="37" spans="1:15" ht="22" customHeight="1" x14ac:dyDescent="0.35">
      <c r="A37" s="98">
        <v>30</v>
      </c>
      <c r="B37" s="60"/>
      <c r="C37" s="17"/>
      <c r="D37" s="16" t="s">
        <v>70</v>
      </c>
      <c r="E37" s="20" t="s">
        <v>36</v>
      </c>
      <c r="F37" s="18">
        <v>24</v>
      </c>
      <c r="G37" s="19" t="s">
        <v>24</v>
      </c>
      <c r="H37" s="24" t="s">
        <v>87</v>
      </c>
      <c r="I37" s="20" t="s">
        <v>88</v>
      </c>
      <c r="J37" s="20" t="s">
        <v>66</v>
      </c>
      <c r="K37" s="20" t="s">
        <v>7</v>
      </c>
      <c r="L37" s="21">
        <v>3800000</v>
      </c>
      <c r="N37" s="94">
        <v>36251</v>
      </c>
      <c r="O37" s="16" t="s">
        <v>81</v>
      </c>
    </row>
    <row r="38" spans="1:15" ht="22" customHeight="1" x14ac:dyDescent="0.35">
      <c r="A38" s="98">
        <v>31</v>
      </c>
      <c r="B38" s="60"/>
      <c r="C38" s="17" t="s">
        <v>60</v>
      </c>
      <c r="D38" s="16" t="s">
        <v>9</v>
      </c>
      <c r="E38" s="20" t="s">
        <v>35</v>
      </c>
      <c r="F38" s="18">
        <f t="shared" ca="1" si="1"/>
        <v>24</v>
      </c>
      <c r="G38" s="19" t="s">
        <v>24</v>
      </c>
      <c r="H38" s="24">
        <v>142949050</v>
      </c>
      <c r="I38" s="20" t="s">
        <v>61</v>
      </c>
      <c r="J38" s="20" t="s">
        <v>66</v>
      </c>
      <c r="K38" s="20" t="s">
        <v>7</v>
      </c>
      <c r="L38" s="21">
        <v>3800000</v>
      </c>
      <c r="N38" s="93">
        <v>37308</v>
      </c>
      <c r="O38" s="16" t="s">
        <v>81</v>
      </c>
    </row>
    <row r="39" spans="1:15" ht="22" customHeight="1" x14ac:dyDescent="0.35">
      <c r="A39" s="98">
        <v>32</v>
      </c>
      <c r="B39" s="60"/>
      <c r="C39" s="17"/>
      <c r="D39" s="16" t="s">
        <v>9</v>
      </c>
      <c r="E39" s="20" t="s">
        <v>35</v>
      </c>
      <c r="F39" s="18">
        <f ca="1">DATEDIF(N39,TODAY(),"y")</f>
        <v>23</v>
      </c>
      <c r="G39" s="19" t="s">
        <v>24</v>
      </c>
      <c r="H39" s="24">
        <v>120108556</v>
      </c>
      <c r="I39" s="20" t="s">
        <v>61</v>
      </c>
      <c r="J39" s="20" t="s">
        <v>66</v>
      </c>
      <c r="K39" s="20" t="s">
        <v>7</v>
      </c>
      <c r="L39" s="21">
        <v>3600000</v>
      </c>
      <c r="N39" s="93">
        <v>37786</v>
      </c>
      <c r="O39" s="16"/>
    </row>
    <row r="40" spans="1:15" ht="22" customHeight="1" x14ac:dyDescent="0.35">
      <c r="A40" s="98">
        <v>33</v>
      </c>
      <c r="B40" s="60"/>
      <c r="C40" s="17"/>
      <c r="D40" s="16" t="s">
        <v>9</v>
      </c>
      <c r="E40" s="20" t="s">
        <v>35</v>
      </c>
      <c r="F40" s="18">
        <f t="shared" ca="1" si="1"/>
        <v>22</v>
      </c>
      <c r="G40" s="19" t="s">
        <v>24</v>
      </c>
      <c r="H40" s="24" t="s">
        <v>54</v>
      </c>
      <c r="I40" s="20" t="s">
        <v>49</v>
      </c>
      <c r="J40" s="20" t="s">
        <v>66</v>
      </c>
      <c r="K40" s="20" t="s">
        <v>7</v>
      </c>
      <c r="L40" s="21">
        <v>3600000</v>
      </c>
      <c r="N40" s="93">
        <v>38014</v>
      </c>
      <c r="O40" s="16"/>
    </row>
    <row r="41" spans="1:15" ht="22" customHeight="1" x14ac:dyDescent="0.35">
      <c r="A41" s="98">
        <v>34</v>
      </c>
      <c r="B41" s="60"/>
      <c r="C41" s="17"/>
      <c r="D41" s="16" t="s">
        <v>9</v>
      </c>
      <c r="E41" s="20" t="s">
        <v>35</v>
      </c>
      <c r="F41" s="18">
        <f t="shared" ca="1" si="1"/>
        <v>22</v>
      </c>
      <c r="G41" s="19" t="s">
        <v>24</v>
      </c>
      <c r="H41" s="24" t="s">
        <v>53</v>
      </c>
      <c r="I41" s="20" t="s">
        <v>49</v>
      </c>
      <c r="J41" s="20" t="s">
        <v>66</v>
      </c>
      <c r="K41" s="20" t="s">
        <v>7</v>
      </c>
      <c r="L41" s="21">
        <v>3600000</v>
      </c>
      <c r="N41" s="93">
        <v>38090</v>
      </c>
      <c r="O41" s="16"/>
    </row>
    <row r="42" spans="1:15" ht="22" customHeight="1" x14ac:dyDescent="0.35">
      <c r="A42" s="98">
        <v>35</v>
      </c>
      <c r="B42" s="60"/>
      <c r="C42" s="17"/>
      <c r="D42" s="16" t="s">
        <v>9</v>
      </c>
      <c r="E42" s="20"/>
      <c r="F42" s="18"/>
      <c r="G42" s="19"/>
      <c r="H42" s="24"/>
      <c r="I42" s="20"/>
      <c r="J42" s="20"/>
      <c r="K42" s="20"/>
      <c r="L42" s="21"/>
      <c r="N42" s="93"/>
      <c r="O42" s="16"/>
    </row>
    <row r="43" spans="1:15" ht="22" customHeight="1" x14ac:dyDescent="0.35">
      <c r="A43" s="98">
        <v>36</v>
      </c>
      <c r="B43" s="60"/>
      <c r="C43" s="17"/>
      <c r="D43" s="16" t="s">
        <v>9</v>
      </c>
      <c r="E43" s="20"/>
      <c r="F43" s="18"/>
      <c r="G43" s="19"/>
      <c r="H43" s="24"/>
      <c r="I43" s="20"/>
      <c r="J43" s="20"/>
      <c r="K43" s="20"/>
      <c r="L43" s="21"/>
      <c r="N43" s="93"/>
      <c r="O43" s="16"/>
    </row>
    <row r="44" spans="1:15" ht="22" customHeight="1" x14ac:dyDescent="0.35">
      <c r="A44" s="98">
        <v>37</v>
      </c>
      <c r="B44" s="60"/>
      <c r="C44" s="17"/>
      <c r="D44" s="16" t="s">
        <v>9</v>
      </c>
      <c r="E44" s="20"/>
      <c r="F44" s="18"/>
      <c r="G44" s="19"/>
      <c r="H44" s="24"/>
      <c r="I44" s="20"/>
      <c r="J44" s="20"/>
      <c r="K44" s="20"/>
      <c r="L44" s="21"/>
      <c r="N44" s="93"/>
      <c r="O44" s="16"/>
    </row>
    <row r="45" spans="1:15" ht="22" customHeight="1" x14ac:dyDescent="0.35">
      <c r="A45" s="98">
        <v>38</v>
      </c>
      <c r="B45" s="60"/>
      <c r="C45" s="17"/>
      <c r="D45" s="16" t="s">
        <v>9</v>
      </c>
      <c r="E45" s="20"/>
      <c r="F45" s="18"/>
      <c r="G45" s="19"/>
      <c r="H45" s="24"/>
      <c r="I45" s="20"/>
      <c r="J45" s="20"/>
      <c r="K45" s="20"/>
      <c r="L45" s="21"/>
      <c r="N45" s="93"/>
      <c r="O45" s="16"/>
    </row>
    <row r="46" spans="1:15" ht="22" customHeight="1" x14ac:dyDescent="0.35">
      <c r="A46" s="98">
        <v>39</v>
      </c>
      <c r="B46" s="60"/>
      <c r="C46" s="17"/>
      <c r="D46" s="16" t="s">
        <v>9</v>
      </c>
      <c r="E46" s="20"/>
      <c r="F46" s="18"/>
      <c r="G46" s="19"/>
      <c r="H46" s="24"/>
      <c r="I46" s="20"/>
      <c r="J46" s="20"/>
      <c r="K46" s="20"/>
      <c r="L46" s="21"/>
      <c r="N46" s="93"/>
      <c r="O46" s="16"/>
    </row>
    <row r="47" spans="1:15" ht="22" customHeight="1" x14ac:dyDescent="0.35">
      <c r="A47" s="98">
        <v>40</v>
      </c>
      <c r="B47" s="60"/>
      <c r="C47" s="17"/>
      <c r="D47" s="16" t="s">
        <v>9</v>
      </c>
      <c r="E47" s="20"/>
      <c r="F47" s="18"/>
      <c r="G47" s="19"/>
      <c r="H47" s="24"/>
      <c r="I47" s="20"/>
      <c r="J47" s="20"/>
      <c r="K47" s="20"/>
      <c r="L47" s="21"/>
      <c r="N47" s="93"/>
      <c r="O47" s="16"/>
    </row>
    <row r="48" spans="1:15" ht="22" customHeight="1" x14ac:dyDescent="0.35">
      <c r="A48" s="98">
        <v>41</v>
      </c>
      <c r="B48" s="60"/>
      <c r="C48" s="17"/>
      <c r="D48" s="16" t="s">
        <v>9</v>
      </c>
      <c r="E48" s="20"/>
      <c r="F48" s="18"/>
      <c r="G48" s="19"/>
      <c r="H48" s="24"/>
      <c r="I48" s="20"/>
      <c r="J48" s="20"/>
      <c r="K48" s="20"/>
      <c r="L48" s="21"/>
      <c r="N48" s="93"/>
      <c r="O48" s="16"/>
    </row>
    <row r="49" spans="1:15" ht="22" customHeight="1" x14ac:dyDescent="0.35">
      <c r="A49" s="98">
        <v>42</v>
      </c>
      <c r="B49" s="60"/>
      <c r="C49" s="17"/>
      <c r="D49" s="16" t="s">
        <v>9</v>
      </c>
      <c r="E49" s="20"/>
      <c r="F49" s="18"/>
      <c r="G49" s="19"/>
      <c r="H49" s="24"/>
      <c r="I49" s="20"/>
      <c r="J49" s="20"/>
      <c r="K49" s="20"/>
      <c r="L49" s="21"/>
      <c r="N49" s="93"/>
      <c r="O49" s="16"/>
    </row>
    <row r="50" spans="1:15" ht="22" customHeight="1" x14ac:dyDescent="0.35">
      <c r="A50" s="98">
        <v>43</v>
      </c>
      <c r="B50" s="60"/>
      <c r="C50" s="17"/>
      <c r="D50" s="16" t="s">
        <v>9</v>
      </c>
      <c r="E50" s="20"/>
      <c r="F50" s="18"/>
      <c r="G50" s="19"/>
      <c r="H50" s="24"/>
      <c r="I50" s="20"/>
      <c r="J50" s="20"/>
      <c r="K50" s="20"/>
      <c r="L50" s="21"/>
      <c r="N50" s="93"/>
      <c r="O50" s="16"/>
    </row>
    <row r="51" spans="1:15" ht="22" customHeight="1" x14ac:dyDescent="0.35">
      <c r="A51" s="98">
        <v>44</v>
      </c>
      <c r="B51" s="60"/>
      <c r="C51" s="17"/>
      <c r="D51" s="16" t="s">
        <v>9</v>
      </c>
      <c r="E51" s="20"/>
      <c r="F51" s="18"/>
      <c r="G51" s="19"/>
      <c r="H51" s="24"/>
      <c r="I51" s="20"/>
      <c r="J51" s="20"/>
      <c r="K51" s="20"/>
      <c r="L51" s="21"/>
      <c r="N51" s="93"/>
      <c r="O51" s="16"/>
    </row>
    <row r="52" spans="1:15" ht="22" customHeight="1" x14ac:dyDescent="0.35">
      <c r="A52" s="98">
        <v>45</v>
      </c>
      <c r="B52" s="60"/>
      <c r="C52" s="17"/>
      <c r="D52" s="16" t="s">
        <v>9</v>
      </c>
      <c r="E52" s="20"/>
      <c r="F52" s="18"/>
      <c r="G52" s="19"/>
      <c r="H52" s="24"/>
      <c r="I52" s="20"/>
      <c r="J52" s="20"/>
      <c r="K52" s="20"/>
      <c r="L52" s="21"/>
      <c r="N52" s="93"/>
      <c r="O52" s="16"/>
    </row>
    <row r="53" spans="1:15" ht="22" customHeight="1" x14ac:dyDescent="0.35">
      <c r="A53" s="98">
        <v>46</v>
      </c>
      <c r="B53" s="60"/>
      <c r="C53" s="17"/>
      <c r="D53" s="16" t="s">
        <v>9</v>
      </c>
      <c r="E53" s="20"/>
      <c r="F53" s="18"/>
      <c r="G53" s="19"/>
      <c r="H53" s="24"/>
      <c r="I53" s="20"/>
      <c r="J53" s="20"/>
      <c r="K53" s="20"/>
      <c r="L53" s="21"/>
      <c r="N53" s="93"/>
      <c r="O53" s="16"/>
    </row>
    <row r="54" spans="1:15" ht="22" customHeight="1" x14ac:dyDescent="0.35">
      <c r="A54" s="98">
        <v>47</v>
      </c>
      <c r="B54" s="60"/>
      <c r="C54" s="17"/>
      <c r="D54" s="16" t="s">
        <v>9</v>
      </c>
      <c r="E54" s="20"/>
      <c r="F54" s="18"/>
      <c r="G54" s="19"/>
      <c r="H54" s="24"/>
      <c r="I54" s="20"/>
      <c r="J54" s="20"/>
      <c r="K54" s="20"/>
      <c r="L54" s="21"/>
      <c r="N54" s="93"/>
      <c r="O54" s="16"/>
    </row>
    <row r="55" spans="1:15" ht="22" customHeight="1" x14ac:dyDescent="0.35">
      <c r="A55" s="98">
        <v>48</v>
      </c>
      <c r="B55" s="60"/>
      <c r="C55" s="17"/>
      <c r="D55" s="16" t="s">
        <v>9</v>
      </c>
      <c r="E55" s="20"/>
      <c r="F55" s="18"/>
      <c r="G55" s="19"/>
      <c r="H55" s="24"/>
      <c r="I55" s="20"/>
      <c r="J55" s="20"/>
      <c r="K55" s="20"/>
      <c r="L55" s="21"/>
      <c r="N55" s="93"/>
      <c r="O55" s="16"/>
    </row>
    <row r="56" spans="1:15" ht="22" customHeight="1" x14ac:dyDescent="0.35">
      <c r="A56" s="98">
        <v>49</v>
      </c>
      <c r="B56" s="60"/>
      <c r="C56" s="17"/>
      <c r="D56" s="16" t="s">
        <v>9</v>
      </c>
      <c r="E56" s="20"/>
      <c r="F56" s="18"/>
      <c r="G56" s="19"/>
      <c r="H56" s="24"/>
      <c r="I56" s="20"/>
      <c r="J56" s="20"/>
      <c r="K56" s="20"/>
      <c r="L56" s="21"/>
      <c r="N56" s="93"/>
      <c r="O56" s="16"/>
    </row>
    <row r="57" spans="1:15" ht="22" customHeight="1" x14ac:dyDescent="0.35">
      <c r="A57" s="98">
        <v>50</v>
      </c>
      <c r="B57" s="60"/>
      <c r="C57" s="17"/>
      <c r="D57" s="16" t="s">
        <v>9</v>
      </c>
      <c r="E57" s="20"/>
      <c r="F57" s="18"/>
      <c r="G57" s="19"/>
      <c r="H57" s="24"/>
      <c r="I57" s="20"/>
      <c r="J57" s="20"/>
      <c r="K57" s="20"/>
      <c r="L57" s="21"/>
      <c r="N57" s="93"/>
      <c r="O57" s="16"/>
    </row>
    <row r="58" spans="1:15" ht="22" customHeight="1" x14ac:dyDescent="0.35">
      <c r="A58" s="98">
        <v>51</v>
      </c>
      <c r="B58" s="60"/>
      <c r="C58" s="17"/>
      <c r="D58" s="16" t="s">
        <v>9</v>
      </c>
      <c r="E58" s="20"/>
      <c r="F58" s="18"/>
      <c r="G58" s="19"/>
      <c r="H58" s="24"/>
      <c r="I58" s="20"/>
      <c r="J58" s="20"/>
      <c r="K58" s="20"/>
      <c r="L58" s="21"/>
      <c r="N58" s="93"/>
      <c r="O58" s="16"/>
    </row>
    <row r="59" spans="1:15" ht="22" customHeight="1" x14ac:dyDescent="0.35">
      <c r="A59" s="98">
        <v>52</v>
      </c>
      <c r="B59" s="60"/>
      <c r="C59" s="17"/>
      <c r="D59" s="16" t="s">
        <v>9</v>
      </c>
      <c r="E59" s="20"/>
      <c r="F59" s="18"/>
      <c r="G59" s="19"/>
      <c r="H59" s="24"/>
      <c r="I59" s="20"/>
      <c r="J59" s="20"/>
      <c r="K59" s="20"/>
      <c r="L59" s="21"/>
      <c r="N59" s="93"/>
      <c r="O59" s="16"/>
    </row>
    <row r="60" spans="1:15" ht="22" customHeight="1" x14ac:dyDescent="0.35">
      <c r="A60" s="98">
        <v>53</v>
      </c>
      <c r="B60" s="60"/>
      <c r="C60" s="17"/>
      <c r="D60" s="16" t="s">
        <v>9</v>
      </c>
      <c r="E60" s="20"/>
      <c r="F60" s="18"/>
      <c r="G60" s="19"/>
      <c r="H60" s="24"/>
      <c r="I60" s="20"/>
      <c r="J60" s="20"/>
      <c r="K60" s="20"/>
      <c r="L60" s="21"/>
      <c r="N60" s="93"/>
      <c r="O60" s="16"/>
    </row>
    <row r="61" spans="1:15" ht="22" customHeight="1" x14ac:dyDescent="0.35">
      <c r="A61" s="98">
        <v>54</v>
      </c>
      <c r="B61" s="60"/>
      <c r="C61" s="17"/>
      <c r="D61" s="16" t="s">
        <v>9</v>
      </c>
      <c r="E61" s="20"/>
      <c r="F61" s="18"/>
      <c r="G61" s="19"/>
      <c r="H61" s="24"/>
      <c r="I61" s="20"/>
      <c r="J61" s="20"/>
      <c r="K61" s="20"/>
      <c r="L61" s="21"/>
      <c r="N61" s="93"/>
      <c r="O61" s="16"/>
    </row>
    <row r="62" spans="1:15" ht="22" customHeight="1" x14ac:dyDescent="0.35">
      <c r="A62" s="98">
        <v>55</v>
      </c>
      <c r="B62" s="60"/>
      <c r="C62" s="17"/>
      <c r="D62" s="16" t="s">
        <v>9</v>
      </c>
      <c r="E62" s="20" t="s">
        <v>35</v>
      </c>
      <c r="F62" s="18">
        <f t="shared" ca="1" si="1"/>
        <v>23</v>
      </c>
      <c r="G62" s="19" t="s">
        <v>24</v>
      </c>
      <c r="H62" s="20" t="s">
        <v>52</v>
      </c>
      <c r="I62" s="20" t="s">
        <v>5</v>
      </c>
      <c r="J62" s="20" t="s">
        <v>66</v>
      </c>
      <c r="K62" s="20" t="s">
        <v>7</v>
      </c>
      <c r="L62" s="21">
        <v>3600000</v>
      </c>
      <c r="N62" s="93">
        <v>37821</v>
      </c>
      <c r="O62" s="16"/>
    </row>
    <row r="63" spans="1:15" ht="22" customHeight="1" thickBot="1" x14ac:dyDescent="0.4">
      <c r="O63" s="16"/>
    </row>
    <row r="64" spans="1:15" ht="24.75" customHeight="1" thickBot="1" x14ac:dyDescent="0.4">
      <c r="L64" s="31">
        <f>SUM(L8:L62)</f>
        <v>106000000</v>
      </c>
      <c r="O64" s="16"/>
    </row>
    <row r="65" spans="1:15" x14ac:dyDescent="0.35">
      <c r="L65" s="32"/>
      <c r="O65" s="16"/>
    </row>
    <row r="66" spans="1:15" x14ac:dyDescent="0.35">
      <c r="A66" s="16">
        <v>31</v>
      </c>
      <c r="B66" s="25" t="s">
        <v>10</v>
      </c>
      <c r="C66" s="26"/>
      <c r="D66" s="27" t="s">
        <v>9</v>
      </c>
      <c r="E66" s="29" t="s">
        <v>36</v>
      </c>
      <c r="F66" s="28"/>
      <c r="G66" s="26"/>
      <c r="H66" s="29" t="s">
        <v>11</v>
      </c>
      <c r="I66" s="29" t="s">
        <v>12</v>
      </c>
      <c r="J66" s="29" t="s">
        <v>6</v>
      </c>
      <c r="K66" s="29" t="s">
        <v>7</v>
      </c>
      <c r="L66" s="30">
        <v>3600000</v>
      </c>
      <c r="N66" s="95"/>
      <c r="O66" s="16"/>
    </row>
    <row r="67" spans="1:15" x14ac:dyDescent="0.35">
      <c r="A67" s="16">
        <v>32</v>
      </c>
      <c r="B67" s="25" t="s">
        <v>13</v>
      </c>
      <c r="C67" s="26"/>
      <c r="D67" s="27" t="s">
        <v>9</v>
      </c>
      <c r="E67" s="29" t="s">
        <v>35</v>
      </c>
      <c r="F67" s="28"/>
      <c r="G67" s="26"/>
      <c r="H67" s="29" t="s">
        <v>14</v>
      </c>
      <c r="I67" s="29" t="s">
        <v>15</v>
      </c>
      <c r="J67" s="29" t="s">
        <v>6</v>
      </c>
      <c r="K67" s="29" t="s">
        <v>7</v>
      </c>
      <c r="L67" s="30">
        <v>3600000</v>
      </c>
      <c r="N67" s="95"/>
      <c r="O67" s="16"/>
    </row>
    <row r="68" spans="1:15" x14ac:dyDescent="0.35">
      <c r="O68" s="16"/>
    </row>
    <row r="69" spans="1:15" x14ac:dyDescent="0.35">
      <c r="A69" s="16">
        <v>13</v>
      </c>
      <c r="B69" s="60" t="s">
        <v>42</v>
      </c>
      <c r="C69" s="17"/>
      <c r="D69" s="16" t="s">
        <v>22</v>
      </c>
      <c r="E69" s="20" t="s">
        <v>36</v>
      </c>
      <c r="F69" s="18">
        <f ca="1">DATEDIF(N69,TODAY(),"y")</f>
        <v>19</v>
      </c>
      <c r="G69" s="19" t="s">
        <v>24</v>
      </c>
      <c r="H69" s="20" t="s">
        <v>43</v>
      </c>
      <c r="I69" s="20" t="s">
        <v>44</v>
      </c>
      <c r="J69" s="20" t="s">
        <v>6</v>
      </c>
      <c r="K69" s="20" t="s">
        <v>7</v>
      </c>
      <c r="L69" s="21">
        <v>3800000</v>
      </c>
      <c r="N69" s="93">
        <v>39222</v>
      </c>
      <c r="O69" s="16"/>
    </row>
    <row r="70" spans="1:15" x14ac:dyDescent="0.35">
      <c r="A70" s="16">
        <v>14</v>
      </c>
      <c r="B70" s="60" t="s">
        <v>45</v>
      </c>
      <c r="C70" s="17"/>
      <c r="D70" s="16" t="s">
        <v>22</v>
      </c>
      <c r="E70" s="20" t="s">
        <v>35</v>
      </c>
      <c r="F70" s="18">
        <f ca="1">DATEDIF(N70,TODAY(),"y")</f>
        <v>18</v>
      </c>
      <c r="G70" s="19" t="s">
        <v>24</v>
      </c>
      <c r="H70" s="20" t="s">
        <v>46</v>
      </c>
      <c r="I70" s="20" t="s">
        <v>44</v>
      </c>
      <c r="J70" s="20" t="s">
        <v>6</v>
      </c>
      <c r="K70" s="20" t="s">
        <v>7</v>
      </c>
      <c r="L70" s="21">
        <v>3800000</v>
      </c>
      <c r="N70" s="93">
        <v>39410</v>
      </c>
      <c r="O70" s="16"/>
    </row>
    <row r="71" spans="1:15" x14ac:dyDescent="0.35">
      <c r="O71" s="16"/>
    </row>
  </sheetData>
  <mergeCells count="2">
    <mergeCell ref="F6:G6"/>
    <mergeCell ref="B6:C6"/>
  </mergeCells>
  <phoneticPr fontId="12" type="noConversion"/>
  <printOptions horizontalCentered="1"/>
  <pageMargins left="0.2" right="0.2" top="0.6" bottom="0.25" header="0.52" footer="0.3"/>
  <pageSetup paperSize="9" scale="4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6A95D-8A56-4302-97C7-89AC602C3558}">
  <dimension ref="A1:T36"/>
  <sheetViews>
    <sheetView view="pageBreakPreview" zoomScale="49" zoomScaleNormal="100" zoomScaleSheetLayoutView="100" workbookViewId="0">
      <selection activeCell="D6" sqref="D6"/>
    </sheetView>
  </sheetViews>
  <sheetFormatPr defaultColWidth="9.1796875" defaultRowHeight="15.5" x14ac:dyDescent="0.35"/>
  <cols>
    <col min="1" max="1" width="5.54296875" style="7" customWidth="1"/>
    <col min="2" max="2" width="10" style="10" customWidth="1"/>
    <col min="3" max="3" width="37.26953125" style="10" customWidth="1"/>
    <col min="4" max="4" width="20.54296875" style="7" customWidth="1"/>
    <col min="5" max="5" width="6.54296875" style="7" customWidth="1"/>
    <col min="6" max="6" width="7" style="6" customWidth="1"/>
    <col min="7" max="7" width="10.453125" style="6" customWidth="1"/>
    <col min="8" max="8" width="24.81640625" style="6" customWidth="1"/>
    <col min="9" max="9" width="21.26953125" style="6" customWidth="1"/>
    <col min="10" max="10" width="13.26953125" style="6" customWidth="1"/>
    <col min="11" max="11" width="15.1796875" style="6" customWidth="1"/>
    <col min="12" max="12" width="16.453125" style="8" customWidth="1"/>
    <col min="13" max="13" width="13.453125" style="8" customWidth="1"/>
    <col min="14" max="14" width="15.1796875" style="8" customWidth="1"/>
    <col min="15" max="15" width="15.81640625" style="8" customWidth="1"/>
    <col min="16" max="16" width="9.1796875" style="7"/>
    <col min="17" max="17" width="20.81640625" style="7" customWidth="1"/>
    <col min="18" max="18" width="9.1796875" style="7"/>
    <col min="19" max="19" width="19.453125" style="7" customWidth="1"/>
    <col min="20" max="20" width="10" style="7" bestFit="1" customWidth="1"/>
    <col min="21" max="16384" width="9.1796875" style="7"/>
  </cols>
  <sheetData>
    <row r="1" spans="1:20" ht="36" x14ac:dyDescent="0.8">
      <c r="A1" s="119" t="s">
        <v>48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87"/>
      <c r="N1" s="87"/>
      <c r="O1" s="87"/>
    </row>
    <row r="2" spans="1:20" ht="6.75" customHeight="1" x14ac:dyDescent="0.35"/>
    <row r="3" spans="1:20" ht="20.25" customHeight="1" x14ac:dyDescent="0.45">
      <c r="A3" s="35" t="s">
        <v>16</v>
      </c>
      <c r="B3" s="36"/>
      <c r="C3" s="36" t="s">
        <v>31</v>
      </c>
      <c r="D3" s="35"/>
      <c r="E3" s="37" t="s">
        <v>26</v>
      </c>
      <c r="F3" s="38"/>
      <c r="G3" s="39"/>
      <c r="H3" s="37" t="s">
        <v>29</v>
      </c>
    </row>
    <row r="4" spans="1:20" ht="20.25" customHeight="1" x14ac:dyDescent="0.45">
      <c r="A4" s="35" t="s">
        <v>17</v>
      </c>
      <c r="B4" s="36"/>
      <c r="C4" s="36" t="s">
        <v>32</v>
      </c>
      <c r="D4" s="35"/>
      <c r="E4" s="37" t="s">
        <v>27</v>
      </c>
      <c r="F4" s="38"/>
      <c r="G4" s="39"/>
      <c r="H4" s="37" t="s">
        <v>30</v>
      </c>
    </row>
    <row r="5" spans="1:20" ht="20.25" customHeight="1" x14ac:dyDescent="0.45">
      <c r="A5" s="35" t="s">
        <v>18</v>
      </c>
      <c r="B5" s="36"/>
      <c r="C5" s="36" t="s">
        <v>41</v>
      </c>
      <c r="D5" s="35"/>
      <c r="E5" s="37" t="s">
        <v>28</v>
      </c>
      <c r="F5" s="38"/>
      <c r="G5" s="39"/>
      <c r="H5" s="40" t="s">
        <v>55</v>
      </c>
    </row>
    <row r="6" spans="1:20" ht="15" customHeight="1" thickBot="1" x14ac:dyDescent="0.4">
      <c r="M6" s="120" t="s">
        <v>56</v>
      </c>
      <c r="N6" s="121"/>
      <c r="Q6" s="33" t="s">
        <v>37</v>
      </c>
    </row>
    <row r="7" spans="1:20" s="41" customFormat="1" ht="23.15" customHeight="1" thickBot="1" x14ac:dyDescent="0.4">
      <c r="A7" s="56" t="s">
        <v>0</v>
      </c>
      <c r="B7" s="115" t="s">
        <v>19</v>
      </c>
      <c r="C7" s="116"/>
      <c r="D7" s="57" t="s">
        <v>20</v>
      </c>
      <c r="E7" s="57" t="s">
        <v>21</v>
      </c>
      <c r="F7" s="117" t="s">
        <v>23</v>
      </c>
      <c r="G7" s="118"/>
      <c r="H7" s="57" t="s">
        <v>33</v>
      </c>
      <c r="I7" s="57" t="s">
        <v>34</v>
      </c>
      <c r="J7" s="57" t="s">
        <v>1</v>
      </c>
      <c r="K7" s="58" t="s">
        <v>2</v>
      </c>
      <c r="L7" s="59" t="s">
        <v>3</v>
      </c>
      <c r="M7" s="89" t="s">
        <v>57</v>
      </c>
      <c r="N7" s="90" t="s">
        <v>58</v>
      </c>
      <c r="O7" s="91" t="s">
        <v>59</v>
      </c>
      <c r="Q7" s="42" t="s">
        <v>25</v>
      </c>
    </row>
    <row r="8" spans="1:20" s="43" customFormat="1" ht="12" customHeight="1" x14ac:dyDescent="0.45">
      <c r="B8" s="44"/>
      <c r="C8" s="44"/>
      <c r="F8" s="39"/>
      <c r="G8" s="39"/>
      <c r="H8" s="39"/>
      <c r="I8" s="39"/>
      <c r="J8" s="39"/>
      <c r="K8" s="39"/>
      <c r="L8" s="45"/>
      <c r="M8" s="8"/>
      <c r="N8" s="8"/>
      <c r="O8" s="8"/>
      <c r="Q8" s="46"/>
    </row>
    <row r="9" spans="1:20" s="43" customFormat="1" ht="23.15" customHeight="1" x14ac:dyDescent="0.45">
      <c r="A9" s="78">
        <v>1</v>
      </c>
      <c r="B9" s="79" t="str">
        <f>SYAHBANDAR15AGUSTUS!B12</f>
        <v>AZMI</v>
      </c>
      <c r="C9" s="80"/>
      <c r="D9" s="78" t="s">
        <v>4</v>
      </c>
      <c r="E9" s="81" t="str">
        <f>SYAHBANDAR15AGUSTUS!E8</f>
        <v>F</v>
      </c>
      <c r="F9" s="82">
        <f t="shared" ref="F9:F14" ca="1" si="0">DATEDIF(Q9,TODAY(),"y")</f>
        <v>24</v>
      </c>
      <c r="G9" s="83" t="s">
        <v>24</v>
      </c>
      <c r="H9" s="81" t="str">
        <f>SYAHBANDAR15AGUSTUS!H8</f>
        <v>NWC17HPK9</v>
      </c>
      <c r="I9" s="81" t="str">
        <f>SYAHBANDAR15AGUSTUS!I8</f>
        <v>NEDERLANDEN</v>
      </c>
      <c r="J9" s="81" t="str">
        <f>SYAHBANDAR15AGUSTUS!J8</f>
        <v xml:space="preserve">AZMI </v>
      </c>
      <c r="K9" s="81" t="str">
        <f>SYAHBANDAR15AGUSTUS!K8</f>
        <v>PEMENANG</v>
      </c>
      <c r="L9" s="84">
        <v>4600000</v>
      </c>
      <c r="M9" s="21">
        <v>300000</v>
      </c>
      <c r="N9" s="21">
        <v>750000</v>
      </c>
      <c r="O9" s="21">
        <f>L9-M9-N9</f>
        <v>3550000</v>
      </c>
      <c r="Q9" s="47">
        <f>SYAHBANDAR15AGUSTUS!N8</f>
        <v>37250</v>
      </c>
      <c r="S9" s="43">
        <v>700000</v>
      </c>
      <c r="T9" s="48">
        <f>S9/L9</f>
        <v>0.15217391304347827</v>
      </c>
    </row>
    <row r="10" spans="1:20" s="43" customFormat="1" ht="23.15" customHeight="1" x14ac:dyDescent="0.45">
      <c r="A10" s="78">
        <v>2</v>
      </c>
      <c r="B10" s="79" t="str">
        <f>SYAHBANDAR15AGUSTUS!B9</f>
        <v>AZMI</v>
      </c>
      <c r="C10" s="80"/>
      <c r="D10" s="78" t="s">
        <v>4</v>
      </c>
      <c r="E10" s="81" t="str">
        <f>SYAHBANDAR15AGUSTUS!E9</f>
        <v>F</v>
      </c>
      <c r="F10" s="82">
        <f t="shared" ca="1" si="0"/>
        <v>26</v>
      </c>
      <c r="G10" s="83" t="s">
        <v>24</v>
      </c>
      <c r="H10" s="81" t="str">
        <f>SYAHBANDAR15AGUSTUS!H9</f>
        <v>NP2L28H66</v>
      </c>
      <c r="I10" s="81" t="str">
        <f>SYAHBANDAR15AGUSTUS!I9</f>
        <v>NEDERLANDEN</v>
      </c>
      <c r="J10" s="81" t="str">
        <f>SYAHBANDAR15AGUSTUS!J9</f>
        <v xml:space="preserve">AZMI </v>
      </c>
      <c r="K10" s="81" t="str">
        <f>SYAHBANDAR15AGUSTUS!K9</f>
        <v>PEMENANG</v>
      </c>
      <c r="L10" s="84">
        <v>4600000</v>
      </c>
      <c r="M10" s="21">
        <v>300000</v>
      </c>
      <c r="N10" s="21">
        <v>750000</v>
      </c>
      <c r="O10" s="21">
        <f t="shared" ref="O10:O34" si="1">L10-M10-N10</f>
        <v>3550000</v>
      </c>
      <c r="Q10" s="47">
        <f>SYAHBANDAR15AGUSTUS!N9</f>
        <v>36653</v>
      </c>
    </row>
    <row r="11" spans="1:20" s="43" customFormat="1" ht="23.15" customHeight="1" x14ac:dyDescent="0.45">
      <c r="A11" s="78">
        <v>3</v>
      </c>
      <c r="B11" s="79" t="str">
        <f>SYAHBANDAR15AGUSTUS!B10</f>
        <v>AZMI</v>
      </c>
      <c r="C11" s="80"/>
      <c r="D11" s="78" t="s">
        <v>4</v>
      </c>
      <c r="E11" s="81" t="str">
        <f>SYAHBANDAR15AGUSTUS!E10</f>
        <v>M</v>
      </c>
      <c r="F11" s="82">
        <f t="shared" ca="1" si="0"/>
        <v>26</v>
      </c>
      <c r="G11" s="83" t="s">
        <v>24</v>
      </c>
      <c r="H11" s="81" t="str">
        <f>SYAHBANDAR15AGUSTUS!H10</f>
        <v>PAU272578</v>
      </c>
      <c r="I11" s="81" t="str">
        <f>SYAHBANDAR15AGUSTUS!I10</f>
        <v>ESPANOLA</v>
      </c>
      <c r="J11" s="81" t="str">
        <f>SYAHBANDAR15AGUSTUS!J10</f>
        <v xml:space="preserve">AZMI </v>
      </c>
      <c r="K11" s="81" t="str">
        <f>SYAHBANDAR15AGUSTUS!K10</f>
        <v>PEMENANG</v>
      </c>
      <c r="L11" s="84">
        <v>4600000</v>
      </c>
      <c r="M11" s="21">
        <v>300000</v>
      </c>
      <c r="N11" s="21">
        <v>750000</v>
      </c>
      <c r="O11" s="21">
        <f t="shared" si="1"/>
        <v>3550000</v>
      </c>
      <c r="Q11" s="47">
        <f>SYAHBANDAR15AGUSTUS!N10</f>
        <v>36747</v>
      </c>
    </row>
    <row r="12" spans="1:20" s="43" customFormat="1" ht="23.15" customHeight="1" x14ac:dyDescent="0.45">
      <c r="A12" s="78">
        <v>4</v>
      </c>
      <c r="B12" s="79" t="str">
        <f>SYAHBANDAR15AGUSTUS!B11</f>
        <v>AZMI</v>
      </c>
      <c r="C12" s="80"/>
      <c r="D12" s="78" t="s">
        <v>4</v>
      </c>
      <c r="E12" s="81" t="str">
        <f>SYAHBANDAR15AGUSTUS!E11</f>
        <v>M</v>
      </c>
      <c r="F12" s="82">
        <f t="shared" ca="1" si="0"/>
        <v>25</v>
      </c>
      <c r="G12" s="83" t="s">
        <v>24</v>
      </c>
      <c r="H12" s="81" t="str">
        <f>SYAHBANDAR15AGUSTUS!H11</f>
        <v>PAT913888</v>
      </c>
      <c r="I12" s="81" t="str">
        <f>SYAHBANDAR15AGUSTUS!I11</f>
        <v>ESPANOLA</v>
      </c>
      <c r="J12" s="81" t="str">
        <f>SYAHBANDAR15AGUSTUS!J11</f>
        <v xml:space="preserve">AZMI </v>
      </c>
      <c r="K12" s="81" t="str">
        <f>SYAHBANDAR15AGUSTUS!K11</f>
        <v>PEMENANG</v>
      </c>
      <c r="L12" s="84">
        <v>4600000</v>
      </c>
      <c r="M12" s="21">
        <v>300000</v>
      </c>
      <c r="N12" s="21">
        <v>750000</v>
      </c>
      <c r="O12" s="21">
        <f t="shared" si="1"/>
        <v>3550000</v>
      </c>
      <c r="Q12" s="47">
        <f>SYAHBANDAR15AGUSTUS!N11</f>
        <v>36886</v>
      </c>
    </row>
    <row r="13" spans="1:20" s="43" customFormat="1" ht="23.15" customHeight="1" x14ac:dyDescent="0.45">
      <c r="A13" s="78">
        <v>5</v>
      </c>
      <c r="B13" s="79" t="e">
        <f>SYAHBANDAR15AGUSTUS!#REF!</f>
        <v>#REF!</v>
      </c>
      <c r="C13" s="80"/>
      <c r="D13" s="78" t="s">
        <v>4</v>
      </c>
      <c r="E13" s="81" t="str">
        <f>SYAHBANDAR15AGUSTUS!E12</f>
        <v>M</v>
      </c>
      <c r="F13" s="82">
        <f t="shared" ca="1" si="0"/>
        <v>22</v>
      </c>
      <c r="G13" s="83" t="s">
        <v>24</v>
      </c>
      <c r="H13" s="81" t="str">
        <f>SYAHBANDAR15AGUSTUS!H12</f>
        <v>PB1903677</v>
      </c>
      <c r="I13" s="81" t="str">
        <f>SYAHBANDAR15AGUSTUS!I12</f>
        <v>SLOVENIJA</v>
      </c>
      <c r="J13" s="81" t="str">
        <f>SYAHBANDAR15AGUSTUS!J12</f>
        <v xml:space="preserve">AZMI </v>
      </c>
      <c r="K13" s="81" t="str">
        <f>SYAHBANDAR15AGUSTUS!K12</f>
        <v>PEMENANG</v>
      </c>
      <c r="L13" s="84">
        <v>4600000</v>
      </c>
      <c r="M13" s="21">
        <v>300000</v>
      </c>
      <c r="N13" s="21">
        <v>750000</v>
      </c>
      <c r="O13" s="21">
        <f t="shared" si="1"/>
        <v>3550000</v>
      </c>
      <c r="Q13" s="47">
        <f>SYAHBANDAR15AGUSTUS!N12</f>
        <v>37999</v>
      </c>
    </row>
    <row r="14" spans="1:20" s="43" customFormat="1" ht="23.15" customHeight="1" x14ac:dyDescent="0.45">
      <c r="A14" s="78">
        <v>6</v>
      </c>
      <c r="B14" s="79" t="str">
        <f>SYAHBANDAR15AGUSTUS!B13</f>
        <v>AZMI</v>
      </c>
      <c r="C14" s="80"/>
      <c r="D14" s="78" t="s">
        <v>4</v>
      </c>
      <c r="E14" s="81" t="str">
        <f>SYAHBANDAR15AGUSTUS!E13</f>
        <v>F</v>
      </c>
      <c r="F14" s="82">
        <f t="shared" ca="1" si="0"/>
        <v>22</v>
      </c>
      <c r="G14" s="83" t="s">
        <v>24</v>
      </c>
      <c r="H14" s="81" t="str">
        <f>SYAHBANDAR15AGUSTUS!H13</f>
        <v>E4487826</v>
      </c>
      <c r="I14" s="81" t="str">
        <f>SYAHBANDAR15AGUSTUS!I13</f>
        <v>SLOVENIJA</v>
      </c>
      <c r="J14" s="81" t="str">
        <f>SYAHBANDAR15AGUSTUS!J13</f>
        <v xml:space="preserve">AZMI </v>
      </c>
      <c r="K14" s="81" t="str">
        <f>SYAHBANDAR15AGUSTUS!K13</f>
        <v>PEMENANG</v>
      </c>
      <c r="L14" s="84">
        <v>4600000</v>
      </c>
      <c r="M14" s="21">
        <v>300000</v>
      </c>
      <c r="N14" s="21">
        <v>750000</v>
      </c>
      <c r="O14" s="21">
        <f t="shared" si="1"/>
        <v>3550000</v>
      </c>
      <c r="Q14" s="22">
        <f>SYAHBANDAR15AGUSTUS!N13</f>
        <v>38022</v>
      </c>
    </row>
    <row r="15" spans="1:20" s="43" customFormat="1" ht="23.15" customHeight="1" x14ac:dyDescent="0.45">
      <c r="A15" s="78">
        <v>7</v>
      </c>
      <c r="B15" s="79">
        <f>SYAHBANDAR15AGUSTUS!B14</f>
        <v>0</v>
      </c>
      <c r="C15" s="80"/>
      <c r="D15" s="78" t="s">
        <v>4</v>
      </c>
      <c r="E15" s="81" t="str">
        <f>SYAHBANDAR15AGUSTUS!E14</f>
        <v>M</v>
      </c>
      <c r="F15" s="82">
        <f ca="1">DATEDIF(Q15,TODAY(),"y")</f>
        <v>23</v>
      </c>
      <c r="G15" s="83" t="s">
        <v>24</v>
      </c>
      <c r="H15" s="81" t="str">
        <f>SYAHBANDAR15AGUSTUS!H14</f>
        <v>C8091557</v>
      </c>
      <c r="I15" s="81" t="str">
        <f>SYAHBANDAR15AGUSTUS!I14</f>
        <v>INDONESIA</v>
      </c>
      <c r="J15" s="81" t="str">
        <f>SYAHBANDAR15AGUSTUS!J14</f>
        <v xml:space="preserve">AZMI </v>
      </c>
      <c r="K15" s="81" t="str">
        <f>SYAHBANDAR15AGUSTUS!K14</f>
        <v>KOPANG</v>
      </c>
      <c r="L15" s="84"/>
      <c r="M15" s="21">
        <v>300000</v>
      </c>
      <c r="N15" s="21">
        <v>750000</v>
      </c>
      <c r="O15" s="21">
        <f t="shared" si="1"/>
        <v>-1050000</v>
      </c>
      <c r="Q15" s="47">
        <f>SYAHBANDAR15AGUSTUS!N14</f>
        <v>37634</v>
      </c>
    </row>
    <row r="16" spans="1:20" s="43" customFormat="1" ht="23.15" customHeight="1" x14ac:dyDescent="0.45">
      <c r="A16" s="78">
        <v>8</v>
      </c>
      <c r="B16" s="79">
        <f>SYAHBANDAR15AGUSTUS!B15</f>
        <v>0</v>
      </c>
      <c r="C16" s="80"/>
      <c r="D16" s="78" t="s">
        <v>4</v>
      </c>
      <c r="E16" s="81" t="str">
        <f>SYAHBANDAR15AGUSTUS!E15</f>
        <v>M</v>
      </c>
      <c r="F16" s="82">
        <f ca="1">DATEDIF(Q16,TODAY(),"y")</f>
        <v>21</v>
      </c>
      <c r="G16" s="83" t="s">
        <v>24</v>
      </c>
      <c r="H16" s="81" t="str">
        <f>SYAHBANDAR15AGUSTUS!H15</f>
        <v>C84HVN74X</v>
      </c>
      <c r="I16" s="81" t="str">
        <f>SYAHBANDAR15AGUSTUS!I15</f>
        <v xml:space="preserve">DEUTSCHLAND </v>
      </c>
      <c r="J16" s="81" t="str">
        <f>SYAHBANDAR15AGUSTUS!J15</f>
        <v xml:space="preserve">AZMI </v>
      </c>
      <c r="K16" s="81" t="str">
        <f>SYAHBANDAR15AGUSTUS!K15</f>
        <v>KOPANG</v>
      </c>
      <c r="L16" s="84"/>
      <c r="M16" s="21">
        <v>300000</v>
      </c>
      <c r="N16" s="21">
        <v>750000</v>
      </c>
      <c r="O16" s="21">
        <f t="shared" si="1"/>
        <v>-1050000</v>
      </c>
      <c r="Q16" s="47">
        <f>SYAHBANDAR15AGUSTUS!N15</f>
        <v>38260</v>
      </c>
    </row>
    <row r="17" spans="1:20" s="43" customFormat="1" ht="23.15" customHeight="1" x14ac:dyDescent="0.45">
      <c r="A17" s="61">
        <v>9</v>
      </c>
      <c r="B17" s="62" t="str">
        <f>SYAHBANDAR15AGUSTUS!B16</f>
        <v>AZMI</v>
      </c>
      <c r="C17" s="63"/>
      <c r="D17" s="61" t="s">
        <v>8</v>
      </c>
      <c r="E17" s="64" t="str">
        <f>SYAHBANDAR15AGUSTUS!E16</f>
        <v>M</v>
      </c>
      <c r="F17" s="65">
        <f t="shared" ref="F17:F28" ca="1" si="2">DATEDIF(Q17,TODAY(),"y")</f>
        <v>45</v>
      </c>
      <c r="G17" s="66" t="s">
        <v>24</v>
      </c>
      <c r="H17" s="64" t="str">
        <f>SYAHBANDAR15AGUSTUS!H16</f>
        <v>EM2217146</v>
      </c>
      <c r="I17" s="64" t="str">
        <f>SYAHBANDAR15AGUSTUS!I16</f>
        <v>NEDERLANDEN</v>
      </c>
      <c r="J17" s="64" t="str">
        <f>SYAHBANDAR15AGUSTUS!J16</f>
        <v>WEB</v>
      </c>
      <c r="K17" s="64" t="str">
        <f>SYAHBANDAR15AGUSTUS!K16</f>
        <v>KOPANG</v>
      </c>
      <c r="L17" s="67">
        <v>4200000</v>
      </c>
      <c r="M17" s="21">
        <v>300000</v>
      </c>
      <c r="N17" s="21">
        <v>750000</v>
      </c>
      <c r="O17" s="21">
        <f t="shared" si="1"/>
        <v>3150000</v>
      </c>
      <c r="Q17" s="47">
        <f>SYAHBANDAR15AGUSTUS!N16</f>
        <v>29738</v>
      </c>
      <c r="S17" s="43">
        <v>700000</v>
      </c>
      <c r="T17" s="48">
        <f>S17/L17</f>
        <v>0.16666666666666666</v>
      </c>
    </row>
    <row r="18" spans="1:20" s="43" customFormat="1" ht="23.15" customHeight="1" x14ac:dyDescent="0.45">
      <c r="A18" s="61">
        <v>10</v>
      </c>
      <c r="B18" s="62" t="str">
        <f>SYAHBANDAR15AGUSTUS!B17</f>
        <v>AZMI</v>
      </c>
      <c r="C18" s="63"/>
      <c r="D18" s="61" t="s">
        <v>8</v>
      </c>
      <c r="E18" s="64" t="str">
        <f>SYAHBANDAR15AGUSTUS!E17</f>
        <v>F</v>
      </c>
      <c r="F18" s="65">
        <f t="shared" ca="1" si="2"/>
        <v>12</v>
      </c>
      <c r="G18" s="66" t="s">
        <v>24</v>
      </c>
      <c r="H18" s="64" t="str">
        <f>SYAHBANDAR15AGUSTUS!H17</f>
        <v>EM3793927</v>
      </c>
      <c r="I18" s="64" t="str">
        <f>SYAHBANDAR15AGUSTUS!I17</f>
        <v>NEDERLANDEN</v>
      </c>
      <c r="J18" s="64" t="str">
        <f>SYAHBANDAR15AGUSTUS!J17</f>
        <v>WEB</v>
      </c>
      <c r="K18" s="64" t="str">
        <f>SYAHBANDAR15AGUSTUS!K17</f>
        <v>KOPANG</v>
      </c>
      <c r="L18" s="67">
        <v>4200000</v>
      </c>
      <c r="M18" s="21">
        <v>300000</v>
      </c>
      <c r="N18" s="21">
        <v>750000</v>
      </c>
      <c r="O18" s="21">
        <f t="shared" si="1"/>
        <v>3150000</v>
      </c>
      <c r="Q18" s="47">
        <f>SYAHBANDAR15AGUSTUS!N17</f>
        <v>41522</v>
      </c>
    </row>
    <row r="19" spans="1:20" s="43" customFormat="1" ht="23.15" customHeight="1" x14ac:dyDescent="0.45">
      <c r="A19" s="61">
        <v>11</v>
      </c>
      <c r="B19" s="62">
        <f>SYAHBANDAR15AGUSTUS!B18</f>
        <v>0</v>
      </c>
      <c r="C19" s="63"/>
      <c r="D19" s="61" t="s">
        <v>8</v>
      </c>
      <c r="E19" s="64" t="str">
        <f>SYAHBANDAR15AGUSTUS!E18</f>
        <v>F</v>
      </c>
      <c r="F19" s="65">
        <f t="shared" ca="1" si="2"/>
        <v>32</v>
      </c>
      <c r="G19" s="66" t="s">
        <v>24</v>
      </c>
      <c r="H19" s="64" t="str">
        <f>SYAHBANDAR15AGUSTUS!H18</f>
        <v>BA985745</v>
      </c>
      <c r="I19" s="64" t="str">
        <f>SYAHBANDAR15AGUSTUS!I18</f>
        <v>COLOMBIA</v>
      </c>
      <c r="J19" s="64" t="str">
        <f>SYAHBANDAR15AGUSTUS!J18</f>
        <v xml:space="preserve">AZMI </v>
      </c>
      <c r="K19" s="64" t="str">
        <f>SYAHBANDAR15AGUSTUS!K18</f>
        <v>PEMENANG</v>
      </c>
      <c r="L19" s="67">
        <v>4200000</v>
      </c>
      <c r="M19" s="21">
        <v>300000</v>
      </c>
      <c r="N19" s="21">
        <v>750000</v>
      </c>
      <c r="O19" s="21">
        <f t="shared" si="1"/>
        <v>3150000</v>
      </c>
      <c r="Q19" s="47">
        <f>SYAHBANDAR15AGUSTUS!N18</f>
        <v>34269</v>
      </c>
    </row>
    <row r="20" spans="1:20" s="43" customFormat="1" ht="23.15" customHeight="1" x14ac:dyDescent="0.45">
      <c r="A20" s="61">
        <v>12</v>
      </c>
      <c r="B20" s="62">
        <f>SYAHBANDAR15AGUSTUS!B19</f>
        <v>0</v>
      </c>
      <c r="C20" s="63"/>
      <c r="D20" s="61" t="s">
        <v>8</v>
      </c>
      <c r="E20" s="64" t="str">
        <f>SYAHBANDAR15AGUSTUS!E19</f>
        <v>M</v>
      </c>
      <c r="F20" s="65">
        <f ca="1">DATEDIF(Q20,TODAY(),"y")</f>
        <v>47</v>
      </c>
      <c r="G20" s="66" t="s">
        <v>24</v>
      </c>
      <c r="H20" s="64" t="str">
        <f>SYAHBANDAR15AGUSTUS!H19</f>
        <v>BG332521</v>
      </c>
      <c r="I20" s="64" t="str">
        <f>SYAHBANDAR15AGUSTUS!I19</f>
        <v>COLOMBIA</v>
      </c>
      <c r="J20" s="64" t="str">
        <f>SYAHBANDAR15AGUSTUS!J19</f>
        <v xml:space="preserve">AZMI </v>
      </c>
      <c r="K20" s="64" t="str">
        <f>SYAHBANDAR15AGUSTUS!K19</f>
        <v>PEMENANG</v>
      </c>
      <c r="L20" s="67">
        <v>4200000</v>
      </c>
      <c r="M20" s="21">
        <v>300000</v>
      </c>
      <c r="N20" s="21">
        <v>750000</v>
      </c>
      <c r="O20" s="21">
        <f t="shared" si="1"/>
        <v>3150000</v>
      </c>
      <c r="Q20" s="47">
        <f>SYAHBANDAR15AGUSTUS!N19</f>
        <v>28759</v>
      </c>
    </row>
    <row r="21" spans="1:20" s="43" customFormat="1" ht="23.15" customHeight="1" x14ac:dyDescent="0.45">
      <c r="A21" s="68">
        <v>13</v>
      </c>
      <c r="B21" s="69" t="str">
        <f>SYAHBANDAR15AGUSTUS!B20</f>
        <v>TANISHA UDAY JHAVERY</v>
      </c>
      <c r="C21" s="70"/>
      <c r="D21" s="68" t="s">
        <v>22</v>
      </c>
      <c r="E21" s="71" t="str">
        <f>SYAHBANDAR15AGUSTUS!E20</f>
        <v>F</v>
      </c>
      <c r="F21" s="72">
        <f ca="1">DATEDIF(Q21,TODAY(),"y")</f>
        <v>30</v>
      </c>
      <c r="G21" s="73" t="s">
        <v>24</v>
      </c>
      <c r="H21" s="71" t="str">
        <f>SYAHBANDAR15AGUSTUS!H20</f>
        <v>T6709686</v>
      </c>
      <c r="I21" s="71" t="str">
        <f>SYAHBANDAR15AGUSTUS!I20</f>
        <v>INDIA</v>
      </c>
      <c r="J21" s="71" t="str">
        <f>SYAHBANDAR15AGUSTUS!J20</f>
        <v xml:space="preserve">AZMI </v>
      </c>
      <c r="K21" s="71" t="str">
        <f>SYAHBANDAR15AGUSTUS!K20</f>
        <v>PEMENANG</v>
      </c>
      <c r="L21" s="74">
        <v>3800000</v>
      </c>
      <c r="M21" s="21">
        <v>300000</v>
      </c>
      <c r="N21" s="21">
        <v>750000</v>
      </c>
      <c r="O21" s="21">
        <f t="shared" si="1"/>
        <v>2750000</v>
      </c>
      <c r="Q21" s="22">
        <v>35147</v>
      </c>
      <c r="S21" s="43">
        <v>700000</v>
      </c>
      <c r="T21" s="48">
        <f>S21/L21</f>
        <v>0.18421052631578946</v>
      </c>
    </row>
    <row r="22" spans="1:20" s="43" customFormat="1" ht="23.15" customHeight="1" x14ac:dyDescent="0.45">
      <c r="A22" s="68">
        <v>14</v>
      </c>
      <c r="B22" s="69">
        <f>SYAHBANDAR15AGUSTUS!B21</f>
        <v>0</v>
      </c>
      <c r="C22" s="70"/>
      <c r="D22" s="68" t="s">
        <v>22</v>
      </c>
      <c r="E22" s="71" t="str">
        <f>SYAHBANDAR15AGUSTUS!E21</f>
        <v>F</v>
      </c>
      <c r="F22" s="72">
        <f ca="1">DATEDIF(Q22,TODAY(),"y")</f>
        <v>25</v>
      </c>
      <c r="G22" s="73" t="s">
        <v>24</v>
      </c>
      <c r="H22" s="71" t="str">
        <f>SYAHBANDAR15AGUSTUS!H21</f>
        <v>22AF76354</v>
      </c>
      <c r="I22" s="71" t="str">
        <f>SYAHBANDAR15AGUSTUS!I21</f>
        <v>FRANCE</v>
      </c>
      <c r="J22" s="71" t="str">
        <f>SYAHBANDAR15AGUSTUS!J21</f>
        <v xml:space="preserve">AZMI </v>
      </c>
      <c r="K22" s="71" t="str">
        <f>SYAHBANDAR15AGUSTUS!K21</f>
        <v>PEMENANG</v>
      </c>
      <c r="L22" s="74">
        <v>3800000</v>
      </c>
      <c r="M22" s="21">
        <v>300000</v>
      </c>
      <c r="N22" s="21">
        <v>750000</v>
      </c>
      <c r="O22" s="21">
        <f t="shared" si="1"/>
        <v>2750000</v>
      </c>
      <c r="Q22" s="22">
        <v>36967</v>
      </c>
    </row>
    <row r="23" spans="1:20" s="43" customFormat="1" ht="23.15" customHeight="1" x14ac:dyDescent="0.45">
      <c r="A23" s="68">
        <v>15</v>
      </c>
      <c r="B23" s="69">
        <f>SYAHBANDAR15AGUSTUS!B22</f>
        <v>0</v>
      </c>
      <c r="C23" s="70"/>
      <c r="D23" s="68" t="s">
        <v>22</v>
      </c>
      <c r="E23" s="71" t="str">
        <f>SYAHBANDAR15AGUSTUS!E22</f>
        <v>F</v>
      </c>
      <c r="F23" s="72">
        <f ca="1">DATEDIF(Q23,TODAY(),"y")</f>
        <v>31</v>
      </c>
      <c r="G23" s="73" t="s">
        <v>24</v>
      </c>
      <c r="H23" s="71" t="str">
        <f>SYAHBANDAR15AGUSTUS!H22</f>
        <v>26CE41288</v>
      </c>
      <c r="I23" s="71" t="str">
        <f>SYAHBANDAR15AGUSTUS!I22</f>
        <v>FRANCE</v>
      </c>
      <c r="J23" s="71" t="str">
        <f>SYAHBANDAR15AGUSTUS!J22</f>
        <v xml:space="preserve">AZMI </v>
      </c>
      <c r="K23" s="71" t="str">
        <f>SYAHBANDAR15AGUSTUS!K22</f>
        <v>PEMENANG</v>
      </c>
      <c r="L23" s="74"/>
      <c r="M23" s="21">
        <v>300000</v>
      </c>
      <c r="N23" s="21">
        <v>750000</v>
      </c>
      <c r="O23" s="21">
        <f t="shared" si="1"/>
        <v>-1050000</v>
      </c>
      <c r="Q23" s="47">
        <f>SYAHBANDAR15AGUSTUS!N22</f>
        <v>34712</v>
      </c>
    </row>
    <row r="24" spans="1:20" s="43" customFormat="1" ht="23.15" customHeight="1" x14ac:dyDescent="0.45">
      <c r="A24" s="68">
        <v>16</v>
      </c>
      <c r="B24" s="69">
        <f>SYAHBANDAR15AGUSTUS!B23</f>
        <v>0</v>
      </c>
      <c r="C24" s="70"/>
      <c r="D24" s="68" t="s">
        <v>22</v>
      </c>
      <c r="E24" s="71" t="str">
        <f>SYAHBANDAR15AGUSTUS!E23</f>
        <v>F</v>
      </c>
      <c r="F24" s="72">
        <f ca="1">DATEDIF(Q24,TODAY(),"y")</f>
        <v>39</v>
      </c>
      <c r="G24" s="73" t="s">
        <v>24</v>
      </c>
      <c r="H24" s="71" t="str">
        <f>SYAHBANDAR15AGUSTUS!H23</f>
        <v>18A153846</v>
      </c>
      <c r="I24" s="71" t="str">
        <f>SYAHBANDAR15AGUSTUS!I23</f>
        <v>FRANCE</v>
      </c>
      <c r="J24" s="71" t="str">
        <f>SYAHBANDAR15AGUSTUS!J23</f>
        <v>WEB</v>
      </c>
      <c r="K24" s="71" t="str">
        <f>SYAHBANDAR15AGUSTUS!K23</f>
        <v>KOPANG</v>
      </c>
      <c r="L24" s="74"/>
      <c r="M24" s="21">
        <v>300000</v>
      </c>
      <c r="N24" s="21">
        <v>750000</v>
      </c>
      <c r="O24" s="21">
        <f t="shared" si="1"/>
        <v>-1050000</v>
      </c>
      <c r="Q24" s="47">
        <f>SYAHBANDAR15AGUSTUS!N23</f>
        <v>31871</v>
      </c>
    </row>
    <row r="25" spans="1:20" s="43" customFormat="1" ht="23.15" customHeight="1" x14ac:dyDescent="0.45">
      <c r="A25" s="49">
        <v>17</v>
      </c>
      <c r="B25" s="50">
        <f>SYAHBANDAR15AGUSTUS!B24</f>
        <v>0</v>
      </c>
      <c r="C25" s="51"/>
      <c r="D25" s="49" t="s">
        <v>9</v>
      </c>
      <c r="E25" s="52" t="str">
        <f>SYAHBANDAR15AGUSTUS!E24</f>
        <v>M</v>
      </c>
      <c r="F25" s="53">
        <f t="shared" ca="1" si="2"/>
        <v>37</v>
      </c>
      <c r="G25" s="54" t="s">
        <v>24</v>
      </c>
      <c r="H25" s="52" t="str">
        <f>SYAHBANDAR15AGUSTUS!H24</f>
        <v>25HD16890</v>
      </c>
      <c r="I25" s="52" t="str">
        <f>SYAHBANDAR15AGUSTUS!I24</f>
        <v>FRANCE</v>
      </c>
      <c r="J25" s="52" t="str">
        <f>SYAHBANDAR15AGUSTUS!J24</f>
        <v>WEB</v>
      </c>
      <c r="K25" s="52" t="str">
        <f>SYAHBANDAR15AGUSTUS!K24</f>
        <v>KOPANG</v>
      </c>
      <c r="L25" s="55">
        <v>3600000</v>
      </c>
      <c r="M25" s="21">
        <v>300000</v>
      </c>
      <c r="N25" s="21">
        <v>750000</v>
      </c>
      <c r="O25" s="21">
        <f t="shared" si="1"/>
        <v>2550000</v>
      </c>
      <c r="Q25" s="47">
        <f>SYAHBANDAR15AGUSTUS!N24</f>
        <v>32491</v>
      </c>
      <c r="S25" s="43">
        <v>700000</v>
      </c>
      <c r="T25" s="48">
        <f>S25/L25</f>
        <v>0.19444444444444445</v>
      </c>
    </row>
    <row r="26" spans="1:20" s="43" customFormat="1" ht="23.15" customHeight="1" x14ac:dyDescent="0.45">
      <c r="A26" s="49">
        <v>18</v>
      </c>
      <c r="B26" s="50">
        <f>SYAHBANDAR15AGUSTUS!B25</f>
        <v>0</v>
      </c>
      <c r="C26" s="51"/>
      <c r="D26" s="49" t="s">
        <v>9</v>
      </c>
      <c r="E26" s="52" t="str">
        <f>SYAHBANDAR15AGUSTUS!E25</f>
        <v>F</v>
      </c>
      <c r="F26" s="53">
        <f t="shared" ca="1" si="2"/>
        <v>34</v>
      </c>
      <c r="G26" s="54" t="s">
        <v>24</v>
      </c>
      <c r="H26" s="52" t="str">
        <f>SYAHBANDAR15AGUSTUS!H25</f>
        <v>24CF83902</v>
      </c>
      <c r="I26" s="52" t="str">
        <f>SYAHBANDAR15AGUSTUS!I25</f>
        <v>FRANCE</v>
      </c>
      <c r="J26" s="52" t="str">
        <f>SYAHBANDAR15AGUSTUS!J25</f>
        <v xml:space="preserve">AZMI </v>
      </c>
      <c r="K26" s="52" t="str">
        <f>SYAHBANDAR15AGUSTUS!K25</f>
        <v>PEMENANG</v>
      </c>
      <c r="L26" s="55">
        <v>3600000</v>
      </c>
      <c r="M26" s="21">
        <v>300000</v>
      </c>
      <c r="N26" s="21">
        <v>750000</v>
      </c>
      <c r="O26" s="21">
        <f t="shared" si="1"/>
        <v>2550000</v>
      </c>
      <c r="Q26" s="47">
        <f>SYAHBANDAR15AGUSTUS!N25</f>
        <v>33790</v>
      </c>
    </row>
    <row r="27" spans="1:20" s="43" customFormat="1" ht="23.15" customHeight="1" x14ac:dyDescent="0.45">
      <c r="A27" s="49">
        <v>19</v>
      </c>
      <c r="B27" s="50">
        <f>SYAHBANDAR15AGUSTUS!B26</f>
        <v>0</v>
      </c>
      <c r="C27" s="51"/>
      <c r="D27" s="49" t="s">
        <v>9</v>
      </c>
      <c r="E27" s="52" t="str">
        <f>SYAHBANDAR15AGUSTUS!E26</f>
        <v>M</v>
      </c>
      <c r="F27" s="53">
        <f t="shared" ca="1" si="2"/>
        <v>32</v>
      </c>
      <c r="G27" s="54" t="s">
        <v>24</v>
      </c>
      <c r="H27" s="52" t="str">
        <f>SYAHBANDAR15AGUSTUS!H26</f>
        <v>26AA18263</v>
      </c>
      <c r="I27" s="52" t="str">
        <f>SYAHBANDAR15AGUSTUS!I26</f>
        <v>FRANCE</v>
      </c>
      <c r="J27" s="52" t="str">
        <f>SYAHBANDAR15AGUSTUS!J26</f>
        <v xml:space="preserve">AZMI </v>
      </c>
      <c r="K27" s="52" t="str">
        <f>SYAHBANDAR15AGUSTUS!K26</f>
        <v>PEMENANG</v>
      </c>
      <c r="L27" s="55">
        <v>3600000</v>
      </c>
      <c r="M27" s="21">
        <v>300000</v>
      </c>
      <c r="N27" s="21">
        <v>750000</v>
      </c>
      <c r="O27" s="21">
        <f t="shared" si="1"/>
        <v>2550000</v>
      </c>
      <c r="Q27" s="47">
        <f>SYAHBANDAR15AGUSTUS!N26</f>
        <v>34474</v>
      </c>
    </row>
    <row r="28" spans="1:20" s="43" customFormat="1" ht="23.15" customHeight="1" x14ac:dyDescent="0.45">
      <c r="A28" s="49">
        <v>20</v>
      </c>
      <c r="B28" s="50">
        <f>SYAHBANDAR15AGUSTUS!B27</f>
        <v>0</v>
      </c>
      <c r="C28" s="51"/>
      <c r="D28" s="49" t="s">
        <v>9</v>
      </c>
      <c r="E28" s="52" t="str">
        <f>SYAHBANDAR15AGUSTUS!E27</f>
        <v>F</v>
      </c>
      <c r="F28" s="53">
        <f t="shared" ca="1" si="2"/>
        <v>26</v>
      </c>
      <c r="G28" s="54" t="s">
        <v>24</v>
      </c>
      <c r="H28" s="52">
        <f>SYAHBANDAR15AGUSTUS!H27</f>
        <v>126789690</v>
      </c>
      <c r="I28" s="52" t="str">
        <f>SYAHBANDAR15AGUSTUS!I27</f>
        <v>BRITISH CITIZEN</v>
      </c>
      <c r="J28" s="52" t="str">
        <f>SYAHBANDAR15AGUSTUS!J27</f>
        <v xml:space="preserve">AZMI </v>
      </c>
      <c r="K28" s="52" t="str">
        <f>SYAHBANDAR15AGUSTUS!K27</f>
        <v>PEMENANG</v>
      </c>
      <c r="L28" s="55">
        <v>3600000</v>
      </c>
      <c r="M28" s="21">
        <v>300000</v>
      </c>
      <c r="N28" s="21">
        <v>750000</v>
      </c>
      <c r="O28" s="21">
        <f t="shared" si="1"/>
        <v>2550000</v>
      </c>
      <c r="Q28" s="47">
        <f>SYAHBANDAR15AGUSTUS!N27</f>
        <v>36544</v>
      </c>
    </row>
    <row r="29" spans="1:20" s="43" customFormat="1" ht="23.15" customHeight="1" x14ac:dyDescent="0.45">
      <c r="A29" s="49">
        <v>21</v>
      </c>
      <c r="B29" s="50">
        <f>SYAHBANDAR15AGUSTUS!B37</f>
        <v>0</v>
      </c>
      <c r="C29" s="51"/>
      <c r="D29" s="49" t="s">
        <v>9</v>
      </c>
      <c r="E29" s="52" t="str">
        <f>SYAHBANDAR15AGUSTUS!E37</f>
        <v>M</v>
      </c>
      <c r="F29" s="53">
        <f t="shared" ref="F29:F34" ca="1" si="3">DATEDIF(Q29,TODAY(),"y")</f>
        <v>27</v>
      </c>
      <c r="G29" s="54" t="s">
        <v>24</v>
      </c>
      <c r="H29" s="52" t="str">
        <f>SYAHBANDAR15AGUSTUS!H37</f>
        <v>CD188666</v>
      </c>
      <c r="I29" s="52" t="str">
        <f>SYAHBANDAR15AGUSTUS!I37</f>
        <v>PORTUGUESE</v>
      </c>
      <c r="J29" s="52" t="str">
        <f>SYAHBANDAR15AGUSTUS!J37</f>
        <v xml:space="preserve">AZMI </v>
      </c>
      <c r="K29" s="52" t="str">
        <f>SYAHBANDAR15AGUSTUS!K37</f>
        <v>PEMENANG</v>
      </c>
      <c r="L29" s="55">
        <v>3600000</v>
      </c>
      <c r="M29" s="21">
        <v>300000</v>
      </c>
      <c r="N29" s="21">
        <v>750000</v>
      </c>
      <c r="O29" s="21">
        <f t="shared" si="1"/>
        <v>2550000</v>
      </c>
      <c r="Q29" s="47">
        <f>SYAHBANDAR15AGUSTUS!N37</f>
        <v>36251</v>
      </c>
    </row>
    <row r="30" spans="1:20" s="43" customFormat="1" ht="23.15" customHeight="1" x14ac:dyDescent="0.45">
      <c r="A30" s="49">
        <v>22</v>
      </c>
      <c r="B30" s="50">
        <f>SYAHBANDAR15AGUSTUS!B38</f>
        <v>0</v>
      </c>
      <c r="C30" s="51"/>
      <c r="D30" s="49" t="s">
        <v>9</v>
      </c>
      <c r="E30" s="52" t="str">
        <f>SYAHBANDAR15AGUSTUS!E38</f>
        <v>F</v>
      </c>
      <c r="F30" s="53">
        <f t="shared" ca="1" si="3"/>
        <v>24</v>
      </c>
      <c r="G30" s="54" t="s">
        <v>24</v>
      </c>
      <c r="H30" s="52">
        <f>SYAHBANDAR15AGUSTUS!H38</f>
        <v>142949050</v>
      </c>
      <c r="I30" s="52" t="str">
        <f>SYAHBANDAR15AGUSTUS!I38</f>
        <v>BRITISH CITIZEN</v>
      </c>
      <c r="J30" s="52" t="str">
        <f>SYAHBANDAR15AGUSTUS!J38</f>
        <v xml:space="preserve">AZMI </v>
      </c>
      <c r="K30" s="52" t="str">
        <f>SYAHBANDAR15AGUSTUS!K38</f>
        <v>PEMENANG</v>
      </c>
      <c r="L30" s="55">
        <v>3600000</v>
      </c>
      <c r="M30" s="21">
        <v>300000</v>
      </c>
      <c r="N30" s="21">
        <v>750000</v>
      </c>
      <c r="O30" s="21">
        <f t="shared" si="1"/>
        <v>2550000</v>
      </c>
      <c r="Q30" s="47">
        <f>SYAHBANDAR15AGUSTUS!N38</f>
        <v>37308</v>
      </c>
    </row>
    <row r="31" spans="1:20" s="43" customFormat="1" ht="23.15" customHeight="1" x14ac:dyDescent="0.45">
      <c r="A31" s="49">
        <v>23</v>
      </c>
      <c r="B31" s="50">
        <f>SYAHBANDAR15AGUSTUS!B39</f>
        <v>0</v>
      </c>
      <c r="C31" s="51"/>
      <c r="D31" s="49" t="s">
        <v>9</v>
      </c>
      <c r="E31" s="52" t="str">
        <f>SYAHBANDAR15AGUSTUS!E39</f>
        <v>F</v>
      </c>
      <c r="F31" s="53">
        <f t="shared" ca="1" si="3"/>
        <v>23</v>
      </c>
      <c r="G31" s="54" t="s">
        <v>24</v>
      </c>
      <c r="H31" s="52">
        <f>SYAHBANDAR15AGUSTUS!H39</f>
        <v>120108556</v>
      </c>
      <c r="I31" s="52" t="str">
        <f>SYAHBANDAR15AGUSTUS!I39</f>
        <v>BRITISH CITIZEN</v>
      </c>
      <c r="J31" s="52" t="str">
        <f>SYAHBANDAR15AGUSTUS!J39</f>
        <v xml:space="preserve">AZMI </v>
      </c>
      <c r="K31" s="52" t="str">
        <f>SYAHBANDAR15AGUSTUS!K39</f>
        <v>PEMENANG</v>
      </c>
      <c r="L31" s="55">
        <v>3600000</v>
      </c>
      <c r="M31" s="21">
        <v>300000</v>
      </c>
      <c r="N31" s="21">
        <v>750000</v>
      </c>
      <c r="O31" s="21">
        <f t="shared" si="1"/>
        <v>2550000</v>
      </c>
      <c r="Q31" s="47">
        <f>SYAHBANDAR15AGUSTUS!N39</f>
        <v>37786</v>
      </c>
    </row>
    <row r="32" spans="1:20" s="43" customFormat="1" ht="23.15" customHeight="1" x14ac:dyDescent="0.45">
      <c r="A32" s="49">
        <v>24</v>
      </c>
      <c r="B32" s="50">
        <f>SYAHBANDAR15AGUSTUS!B40</f>
        <v>0</v>
      </c>
      <c r="C32" s="51"/>
      <c r="D32" s="49" t="s">
        <v>9</v>
      </c>
      <c r="E32" s="52" t="str">
        <f>SYAHBANDAR15AGUSTUS!E62</f>
        <v>F</v>
      </c>
      <c r="F32" s="53">
        <f t="shared" ca="1" si="3"/>
        <v>22</v>
      </c>
      <c r="G32" s="54" t="s">
        <v>24</v>
      </c>
      <c r="H32" s="52" t="str">
        <f>SYAHBANDAR15AGUSTUS!H40</f>
        <v>130591423</v>
      </c>
      <c r="I32" s="52" t="str">
        <f>SYAHBANDAR15AGUSTUS!I40</f>
        <v>UNITED KINGDOM</v>
      </c>
      <c r="J32" s="52" t="str">
        <f>SYAHBANDAR15AGUSTUS!J40</f>
        <v xml:space="preserve">AZMI </v>
      </c>
      <c r="K32" s="52" t="str">
        <f>SYAHBANDAR15AGUSTUS!K40</f>
        <v>PEMENANG</v>
      </c>
      <c r="L32" s="55">
        <v>3600000</v>
      </c>
      <c r="M32" s="21">
        <v>300000</v>
      </c>
      <c r="N32" s="21">
        <v>750000</v>
      </c>
      <c r="O32" s="21">
        <f t="shared" si="1"/>
        <v>2550000</v>
      </c>
      <c r="Q32" s="47">
        <f>SYAHBANDAR15AGUSTUS!N40</f>
        <v>38014</v>
      </c>
    </row>
    <row r="33" spans="1:19" s="43" customFormat="1" ht="23.15" customHeight="1" x14ac:dyDescent="0.45">
      <c r="A33" s="49">
        <v>25</v>
      </c>
      <c r="B33" s="50">
        <f>SYAHBANDAR15AGUSTUS!B41</f>
        <v>0</v>
      </c>
      <c r="C33" s="51"/>
      <c r="D33" s="49" t="s">
        <v>9</v>
      </c>
      <c r="E33" s="52" t="s">
        <v>35</v>
      </c>
      <c r="F33" s="53">
        <f t="shared" ca="1" si="3"/>
        <v>22</v>
      </c>
      <c r="G33" s="54" t="s">
        <v>24</v>
      </c>
      <c r="H33" s="52" t="str">
        <f>SYAHBANDAR15AGUSTUS!H41</f>
        <v>132499286</v>
      </c>
      <c r="I33" s="52" t="str">
        <f>SYAHBANDAR15AGUSTUS!I41</f>
        <v>UNITED KINGDOM</v>
      </c>
      <c r="J33" s="52" t="str">
        <f>SYAHBANDAR15AGUSTUS!J41</f>
        <v xml:space="preserve">AZMI </v>
      </c>
      <c r="K33" s="52" t="str">
        <f>SYAHBANDAR15AGUSTUS!K41</f>
        <v>PEMENANG</v>
      </c>
      <c r="L33" s="55">
        <v>3600000</v>
      </c>
      <c r="M33" s="21">
        <v>300000</v>
      </c>
      <c r="N33" s="21">
        <v>750000</v>
      </c>
      <c r="O33" s="21">
        <f t="shared" si="1"/>
        <v>2550000</v>
      </c>
      <c r="Q33" s="47">
        <f>SYAHBANDAR15AGUSTUS!N41</f>
        <v>38090</v>
      </c>
    </row>
    <row r="34" spans="1:19" s="43" customFormat="1" ht="23.15" customHeight="1" x14ac:dyDescent="0.45">
      <c r="A34" s="49">
        <v>26</v>
      </c>
      <c r="B34" s="50">
        <f>SYAHBANDAR15AGUSTUS!B62</f>
        <v>0</v>
      </c>
      <c r="C34" s="51"/>
      <c r="D34" s="49" t="s">
        <v>9</v>
      </c>
      <c r="E34" s="52" t="str">
        <f>SYAHBANDAR15AGUSTUS!E62</f>
        <v>F</v>
      </c>
      <c r="F34" s="53">
        <f t="shared" ca="1" si="3"/>
        <v>23</v>
      </c>
      <c r="G34" s="54" t="s">
        <v>24</v>
      </c>
      <c r="H34" s="52" t="str">
        <f>SYAHBANDAR15AGUSTUS!H62</f>
        <v>25AH40022</v>
      </c>
      <c r="I34" s="52" t="str">
        <f>SYAHBANDAR15AGUSTUS!I62</f>
        <v>FRANCE</v>
      </c>
      <c r="J34" s="52" t="str">
        <f>SYAHBANDAR15AGUSTUS!J62</f>
        <v xml:space="preserve">AZMI </v>
      </c>
      <c r="K34" s="52" t="str">
        <f>SYAHBANDAR15AGUSTUS!K62</f>
        <v>PEMENANG</v>
      </c>
      <c r="L34" s="55">
        <v>3600000</v>
      </c>
      <c r="M34" s="21">
        <v>300000</v>
      </c>
      <c r="N34" s="21">
        <v>750000</v>
      </c>
      <c r="O34" s="21">
        <f t="shared" si="1"/>
        <v>2550000</v>
      </c>
      <c r="Q34" s="47">
        <f>SYAHBANDAR15AGUSTUS!N62</f>
        <v>37821</v>
      </c>
    </row>
    <row r="35" spans="1:19" ht="20.25" customHeight="1" thickBot="1" x14ac:dyDescent="0.5">
      <c r="H35" s="85"/>
      <c r="I35" s="86"/>
      <c r="J35" s="85"/>
    </row>
    <row r="36" spans="1:19" ht="20.25" customHeight="1" thickBot="1" x14ac:dyDescent="0.4">
      <c r="K36" s="75" t="s">
        <v>47</v>
      </c>
      <c r="L36" s="76">
        <f>SUM(L9:L34)</f>
        <v>88000000</v>
      </c>
      <c r="M36" s="31">
        <f t="shared" ref="M36:O36" si="4">SUM(M9:M34)</f>
        <v>7800000</v>
      </c>
      <c r="N36" s="31">
        <f t="shared" si="4"/>
        <v>19500000</v>
      </c>
      <c r="O36" s="31">
        <f t="shared" si="4"/>
        <v>60700000</v>
      </c>
      <c r="S36" s="34">
        <f>L36*0.17</f>
        <v>14960000.000000002</v>
      </c>
    </row>
  </sheetData>
  <mergeCells count="4">
    <mergeCell ref="B7:C7"/>
    <mergeCell ref="F7:G7"/>
    <mergeCell ref="A1:L1"/>
    <mergeCell ref="M6:N6"/>
  </mergeCells>
  <printOptions horizontalCentered="1"/>
  <pageMargins left="0.08" right="0.06" top="0.2" bottom="0.14000000000000001" header="0.14000000000000001" footer="0.08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SYAHBANDAR15AGUSTUS</vt:lpstr>
      <vt:lpstr>TAMU15AGUSTUS</vt:lpstr>
      <vt:lpstr>SYAHBANDAR15AGUSTUS!Print_Area</vt:lpstr>
      <vt:lpstr>TAMU15AGUSTUS!Print_Area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RYZEN31414@outlook.com</cp:lastModifiedBy>
  <cp:lastPrinted>2026-06-07T03:13:38Z</cp:lastPrinted>
  <dcterms:created xsi:type="dcterms:W3CDTF">2026-06-02T07:44:17Z</dcterms:created>
  <dcterms:modified xsi:type="dcterms:W3CDTF">2026-08-11T09:23:50Z</dcterms:modified>
</cp:coreProperties>
</file>